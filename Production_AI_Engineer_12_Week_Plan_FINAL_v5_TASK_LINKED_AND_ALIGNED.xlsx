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158010e5a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周主计划" sheetId="1" r:id="Rd53384b2997d4bad"/>
    <x:sheet xmlns:r="http://schemas.openxmlformats.org/officeDocument/2006/relationships" name="每周怎么学" sheetId="2" r:id="Reb45f3451b444f25"/>
    <x:sheet xmlns:r="http://schemas.openxmlformats.org/officeDocument/2006/relationships" name="课程地图" sheetId="3" r:id="Rd3e9e27fab9b43b2"/>
    <x:sheet xmlns:r="http://schemas.openxmlformats.org/officeDocument/2006/relationships" name="W01 最小闭环" sheetId="4" r:id="Rd3a8a2a1bd794be1"/>
    <x:sheet xmlns:r="http://schemas.openxmlformats.org/officeDocument/2006/relationships" name="W02 分层与Tool" sheetId="5" r:id="Rd7df93b29b5f475c"/>
    <x:sheet xmlns:r="http://schemas.openxmlformats.org/officeDocument/2006/relationships" name="W03 异步并发" sheetId="6" r:id="R0dec4891885940a6"/>
    <x:sheet xmlns:r="http://schemas.openxmlformats.org/officeDocument/2006/relationships" name="W04 状态与DB" sheetId="7" r:id="R6694c4f6d9ca46f5"/>
    <x:sheet xmlns:r="http://schemas.openxmlformats.org/officeDocument/2006/relationships" name="W05 事务与恢复" sheetId="8" r:id="R4e9d66a36967466c"/>
    <x:sheet xmlns:r="http://schemas.openxmlformats.org/officeDocument/2006/relationships" name="W06 自然语言问数" sheetId="9" r:id="R1c2b838e7d5a4f1c"/>
    <x:sheet xmlns:r="http://schemas.openxmlformats.org/officeDocument/2006/relationships" name="W07 Docker与MCP" sheetId="10" r:id="Rc029f0d63ee34147"/>
    <x:sheet xmlns:r="http://schemas.openxmlformats.org/officeDocument/2006/relationships" name="W08 Queue与Worker" sheetId="11" r:id="Re5356c6305024e22"/>
    <x:sheet xmlns:r="http://schemas.openxmlformats.org/officeDocument/2006/relationships" name="W09 可靠性" sheetId="12" r:id="Rfe493cdb68a74a0f"/>
    <x:sheet xmlns:r="http://schemas.openxmlformats.org/officeDocument/2006/relationships" name="W10 可观测与评估" sheetId="13" r:id="R3bc17079546a4798"/>
    <x:sheet xmlns:r="http://schemas.openxmlformats.org/officeDocument/2006/relationships" name="W11 性能与质量" sheetId="14" r:id="R98a18b1e263a49f9"/>
    <x:sheet xmlns:r="http://schemas.openxmlformats.org/officeDocument/2006/relationships" name="W12 Capstone" sheetId="15" r:id="R4a01ac2702b149fc"/>
    <x:sheet xmlns:r="http://schemas.openxmlformats.org/officeDocument/2006/relationships" name="学习要点总览" sheetId="16" r:id="R9625dd58a22547ae"/>
    <x:sheet xmlns:r="http://schemas.openxmlformats.org/officeDocument/2006/relationships" name="课程完整覆盖" sheetId="17" r:id="R9885915ee5d64b41"/>
    <x:sheet xmlns:r="http://schemas.openxmlformats.org/officeDocument/2006/relationships" name="课程映射总表" sheetId="18" r:id="R32636d35814b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&quot;h&quot;"/>
    <x:numFmt numFmtId="202" formatCode="0.00&quot;h&quot;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6"/>
      <x:color rgb="FFFFFFFF"/>
      <x:name val="Carlito"/>
    </x:font>
    <x:font>
      <x:b/>
      <x:sz val="11"/>
      <x:color rgb="FF7C5A13"/>
      <x:name val="Carlito"/>
    </x:font>
    <x:font>
      <x:b/>
      <x:sz val="11"/>
      <x:color rgb="FF374151"/>
      <x:name val="Carlito"/>
    </x:font>
    <x:font>
      <x:b/>
      <x:sz val="17"/>
      <x:color rgb="FF7C5A13"/>
      <x:name val="Carlito"/>
    </x:font>
    <x:font>
      <x:b/>
      <x:sz val="14"/>
      <x:color rgb="FF6B7280"/>
      <x:name val="Carlito"/>
    </x:font>
    <x:font>
      <x:b/>
      <x:sz val="11"/>
      <x:color rgb="FF245B4A"/>
      <x:name val="Carlito"/>
    </x:font>
  </x:fonts>
  <x:fills count="4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6F95"/>
      </x:patternFill>
    </x:fill>
    <x:fill>
      <x:patternFill patternType="solid">
        <x:fgColor rgb="FFEDF5F1"/>
      </x:patternFill>
    </x:fill>
    <x:fill>
      <x:patternFill patternType="solid">
        <x:fgColor rgb="FFFFF4DD"/>
      </x:patternFill>
    </x:fill>
    <x:fill>
      <x:patternFill patternType="solid">
        <x:fgColor rgb="FFF3E8FF"/>
      </x:patternFill>
    </x:fill>
    <x:fill>
      <x:patternFill patternType="solid">
        <x:fgColor rgb="FFF3F4F6"/>
      </x:patternFill>
    </x:fill>
    <x:fill>
      <x:patternFill patternType="solid">
        <x:fgColor rgb="FF5B8E7D"/>
      </x:patternFill>
    </x:fill>
    <x:fill>
      <x:patternFill patternType="solid">
        <x:fgColor rgb="FFF4B942"/>
      </x:patternFill>
    </x:fill>
    <x:fill>
      <x:patternFill patternType="solid">
        <x:fgColor rgb="FF2E6F95"/>
      </x:patternFill>
    </x:fill>
    <x:fill>
      <x:patternFill patternType="solid">
        <x:fgColor rgb="FFEAF2F8"/>
      </x:patternFill>
    </x:fill>
    <x:fill>
      <x:patternFill patternType="solid">
        <x:fgColor rgb="FFEDF5F1"/>
      </x:patternFill>
    </x:fill>
    <x:fill>
      <x:patternFill patternType="solid">
        <x:fgColor rgb="FFFFF4DD"/>
      </x:patternFill>
    </x:fill>
    <x:fill>
      <x:patternFill patternType="solid">
        <x:fgColor rgb="FFF3E8FF"/>
      </x:patternFill>
    </x:fill>
    <x:fill>
      <x:patternFill patternType="solid">
        <x:fgColor rgb="FF17324D"/>
      </x:patternFill>
    </x:fill>
    <x:fill>
      <x:patternFill patternType="solid">
        <x:fgColor rgb="FFF3F4F6"/>
      </x:patternFill>
    </x:fill>
    <x:fill>
      <x:patternFill patternType="solid">
        <x:fgColor rgb="FF5B8E7D"/>
      </x:patternFill>
    </x:fill>
    <x:fill>
      <x:patternFill patternType="solid">
        <x:fgColor rgb="FF2E6F95"/>
      </x:patternFill>
    </x:fill>
    <x:fill>
      <x:patternFill patternType="solid">
        <x:fgColor rgb="FFEAF2F8"/>
      </x:patternFill>
    </x:fill>
    <x:fill>
      <x:patternFill patternType="solid">
        <x:fgColor rgb="FFEDF5F1"/>
      </x:patternFill>
    </x:fill>
    <x:fill>
      <x:patternFill patternType="solid">
        <x:fgColor rgb="FFFFF4DD"/>
      </x:patternFill>
    </x:fill>
    <x:fill>
      <x:patternFill patternType="solid">
        <x:fgColor rgb="FFF3E8FF"/>
      </x:patternFill>
    </x:fill>
    <x:fill>
      <x:patternFill patternType="solid">
        <x:fgColor rgb="FF17324D"/>
      </x:patternFill>
    </x:fill>
    <x:fill>
      <x:patternFill patternType="solid">
        <x:fgColor rgb="FFF3F4F6"/>
      </x:patternFill>
    </x:fill>
    <x:fill>
      <x:patternFill patternType="solid">
        <x:fgColor rgb="FF5B8E7D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6F95"/>
      </x:patternFill>
    </x:fill>
    <x:fill>
      <x:patternFill patternType="solid">
        <x:fgColor rgb="FF5B8E7D"/>
      </x:patternFill>
    </x:fill>
    <x:fill>
      <x:patternFill patternType="solid">
        <x:fgColor rgb="FFF3F4F6"/>
      </x:patternFill>
    </x:fill>
    <x:fill>
      <x:patternFill patternType="solid">
        <x:fgColor rgb="FFFFF4DD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6F95"/>
      </x:patternFill>
    </x:fill>
    <x:fill>
      <x:patternFill patternType="solid">
        <x:fgColor rgb="FFFFF4DD"/>
      </x:patternFill>
    </x:fill>
    <x:fill>
      <x:patternFill patternType="solid">
        <x:fgColor rgb="FF17324D"/>
      </x:patternFill>
    </x:fill>
    <x:fill>
      <x:patternFill patternType="solid">
        <x:fgColor rgb="FF2E6F95"/>
      </x:patternFill>
    </x:fill>
    <x:fill>
      <x:patternFill patternType="solid">
        <x:fgColor rgb="FFF3F4F6"/>
      </x:patternFill>
    </x:fill>
    <x:fill>
      <x:patternFill patternType="solid">
        <x:fgColor rgb="FFEDF5F1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FFF4DD"/>
      </x:patternFill>
    </x:fill>
    <x:fill>
      <x:patternFill patternType="solid">
        <x:fgColor rgb="FFEDF5F1"/>
      </x:patternFill>
    </x:fill>
  </x:fills>
  <x:borders count="2">
    <x:border/>
    <x:border/>
  </x:borders>
  <x:cellStyleXfs count="1">
    <x:xf numFmtId="0" fontId="0" fillId="0" borderId="0"/>
  </x:cellStyleXfs>
  <x:cellXfs count="2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/>
    <x:xf numFmtId="0" fontId="4" fillId="17" borderId="0" xfId="0" applyNumberFormat="1" applyFont="1" applyFill="1" applyBorder="1"/>
    <x:xf numFmtId="0" fontId="3" fillId="16" xfId="0" applyNumberFormat="1" applyFont="1" applyFill="1" applyBorder="0"/>
    <x:xf numFmtId="0" fontId="4" fillId="17" xfId="0" applyNumberFormat="1" applyFont="1" applyFill="1" applyBorder="0"/>
    <x:xf numFmtId="0" fontId="0" fillId="0" xfId="0" applyNumberFormat="1" applyFont="1" applyFill="1" applyBorder="0"/>
    <x:xf numFmtId="200" fontId="0" fillId="0" xfId="0" applyNumberFormat="1" applyFont="1" applyFill="1" applyBorder="0"/>
    <x:xf numFmtId="0" fontId="3" fillId="11" borderId="0" xfId="0" applyNumberFormat="1" applyFont="1" applyFill="1" applyBorder="1" applyAlignment="1">
      <x:alignment horizontal="center" wrapText="1"/>
    </x:xf>
    <x:xf numFmtId="0" fontId="3" fillId="11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6" fillId="16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vertical="center"/>
    </x:xf>
    <x:xf numFmtId="201" fontId="2" fillId="12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0" fillId="17" borderId="0" xfId="0" applyNumberFormat="1" applyFont="1" applyFill="1" applyBorder="1"/>
    <x:xf numFmtId="202" fontId="0" fillId="17" borderId="0" xfId="0" applyNumberFormat="1" applyFont="1" applyFill="1" applyBorder="1"/>
    <x:xf numFmtId="202" fontId="4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8" fillId="17" borderId="0" xfId="0" applyNumberFormat="1" applyFont="1" applyFill="1" applyBorder="1"/>
    <x:xf numFmtId="0" fontId="3" fillId="11" xfId="0" applyNumberFormat="1" applyFont="1" applyFill="1" applyBorder="0" applyAlignment="1">
      <x:alignment horizontal="center" vertical="center"/>
    </x:xf>
    <x:xf numFmtId="202" fontId="0" fillId="0" xfId="0" applyNumberFormat="1" applyFont="1" applyFill="1" applyBorder="0"/>
    <x:xf numFmtId="202" fontId="4" fillId="17" xfId="0" applyNumberFormat="1" applyFont="1" applyFill="1" applyBorder="0"/>
    <x:xf numFmtId="202" fontId="0" fillId="0" xfId="0" applyNumberFormat="1" applyFont="1" applyFill="1" applyBorder="0" applyAlignment="1">
      <x:alignment wrapText="1"/>
    </x:xf>
    <x:xf numFmtId="0" fontId="8" fillId="17" borderId="0" xfId="0" applyNumberFormat="1" applyFont="1" applyFill="1" applyBorder="1" applyAlignment="1">
      <x:alignment wrapText="1"/>
    </x:xf>
    <x:xf numFmtId="0" fontId="4" fillId="17" xfId="0" applyNumberFormat="1" applyFont="1" applyFill="1" applyBorder="0" applyAlignment="1">
      <x:alignment wrapText="1"/>
    </x:xf>
    <x:xf numFmtId="0" fontId="3" fillId="2" xfId="0" applyNumberFormat="1" applyFont="1" applyFill="1" applyBorder="0"/>
    <x:xf numFmtId="0" fontId="4" fillId="8" xfId="0" applyNumberFormat="1" applyFont="1" applyFill="1" applyBorder="0"/>
    <x:xf numFmtId="0" fontId="3" fillId="4" xfId="0" applyNumberFormat="1" applyFont="1" applyFill="1" applyBorder="0" applyAlignment="1">
      <x:alignment horizont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202" fontId="0" fillId="8" borderId="0" xfId="0" applyNumberFormat="1" applyFont="1" applyFill="1" applyBorder="1"/>
    <x:xf numFmtId="202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3" fillId="4" xfId="0" applyNumberFormat="1" applyFont="1" applyFill="1" applyBorder="0" applyAlignment="1">
      <x:alignment horizontal="center" vertical="center"/>
    </x:xf>
    <x:xf numFmtId="202" fontId="4" fillId="8" xfId="0" applyNumberFormat="1" applyFont="1" applyFill="1" applyBorder="0"/>
    <x:xf numFmtId="0" fontId="8" fillId="8" borderId="0" xfId="0" applyNumberFormat="1" applyFont="1" applyFill="1" applyBorder="1" applyAlignment="1">
      <x:alignment wrapText="1"/>
    </x:xf>
    <x:xf numFmtId="0" fontId="4" fillId="8" xfId="0" applyNumberFormat="1" applyFont="1" applyFill="1" applyBorder="0" applyAlignment="1">
      <x:alignment wrapText="1"/>
    </x:xf>
    <x:xf numFmtId="0" fontId="3" fillId="19" borderId="0" xfId="0" applyNumberFormat="1" applyFont="1" applyFill="1" applyBorder="1" applyAlignment="1">
      <x:alignment horizontal="center" vertical="center"/>
    </x:xf>
    <x:xf numFmtId="0" fontId="3" fillId="19" xfId="0" applyNumberFormat="1" applyFont="1" applyFill="1" applyBorder="0"/>
    <x:xf numFmtId="0" fontId="3" fillId="19" xfId="0" applyNumberFormat="1" applyFont="1" applyFill="1" applyBorder="0" applyAlignment="1">
      <x:alignment horizontal="center"/>
    </x:xf>
    <x:xf numFmtId="0" fontId="3" fillId="19" xfId="0" applyNumberFormat="1" applyFont="1" applyFill="1" applyBorder="0" applyAlignment="1">
      <x:alignment horizontal="center" vertical="center"/>
    </x:xf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3" fillId="24" xfId="0" applyNumberFormat="1" applyFont="1" applyFill="1" applyBorder="0"/>
    <x:xf numFmtId="0" fontId="4" fillId="25" xfId="0" applyNumberFormat="1" applyFont="1" applyFill="1" applyBorder="0"/>
    <x:xf numFmtId="0" fontId="5" fillId="24" borderId="0" xfId="0" applyNumberFormat="1" applyFont="1" applyFill="1" applyBorder="1"/>
    <x:xf numFmtId="0" fontId="5" fillId="24" borderId="0" xfId="0" applyNumberFormat="1" applyFont="1" applyFill="1" applyBorder="1" applyAlignment="1">
      <x:alignment horizontal="center"/>
    </x:xf>
    <x:xf numFmtId="0" fontId="5" fillId="24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4" fillId="25" xfId="0" applyNumberFormat="1" applyFont="1" applyFill="1" applyBorder="0" applyAlignment="1">
      <x:alignment wrapText="1"/>
    </x:xf>
    <x:xf numFmtId="0" fontId="3" fillId="4" xfId="0" applyNumberFormat="1" applyFont="1" applyFill="1" applyBorder="0"/>
    <x:xf numFmtId="0" fontId="3" fillId="4" xfId="0" applyNumberFormat="1" applyFont="1" applyFill="1" applyBorder="0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center"/>
    </x:xf>
    <x:xf numFmtId="0" fontId="5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horizontal="center"/>
    </x:xf>
    <x:xf numFmtId="0" fontId="3" fillId="29" borderId="0" xfId="0" applyNumberFormat="1" applyFont="1" applyFill="1" applyBorder="1" applyAlignment="1">
      <x:alignment horizontal="center" vertical="center"/>
    </x:xf>
    <x:xf numFmtId="0" fontId="3" fillId="29" xfId="0" applyNumberFormat="1" applyFont="1" applyFill="1" applyBorder="0" applyAlignment="1">
      <x:alignment horizontal="center" vertical="center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0" fillId="31" borderId="0" xfId="0" applyNumberFormat="1" applyFont="1" applyFill="1" applyBorder="1"/>
    <x:xf numFmtId="0" fontId="4" fillId="31" borderId="0" xfId="0" applyNumberFormat="1" applyFont="1" applyFill="1" applyBorder="1"/>
    <x:xf numFmtId="0" fontId="4" fillId="31" xfId="0" applyNumberFormat="1" applyFont="1" applyFill="1" applyBorder="0"/>
    <x:xf numFmtId="0" fontId="4" fillId="31" xfId="0" applyNumberFormat="1" applyFont="1" applyFill="1" applyBorder="0" applyAlignment="1">
      <x:alignment wrapText="1"/>
    </x:xf>
    <x:xf numFmtId="0" fontId="0" fillId="32" borderId="0" xfId="0" applyNumberFormat="1" applyFont="1" applyFill="1" applyBorder="1"/>
    <x:xf numFmtId="0" fontId="7" fillId="32" borderId="0" xfId="0" applyNumberFormat="1" applyFont="1" applyFill="1" applyBorder="1"/>
    <x:xf numFmtId="0" fontId="7" fillId="32" borderId="0" xfId="0" applyNumberFormat="1" applyFont="1" applyFill="1" applyBorder="1" applyAlignment="1">
      <x:alignment wrapText="1"/>
    </x:xf>
    <x:xf numFmtId="0" fontId="7" fillId="32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0" xfId="0" applyNumberFormat="1" applyFont="1" applyFill="1" applyBorder="1" applyAlignment="1">
      <x:alignment horizontal="center"/>
    </x:xf>
    <x:xf numFmtId="0" fontId="5" fillId="33" borderId="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0" xfId="0" applyNumberFormat="1" applyFont="1" applyFill="1" applyBorder="1" applyAlignment="1">
      <x:alignment horizontal="center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horizontal="center"/>
    </x:xf>
    <x:xf numFmtId="0" fontId="3" fillId="35" borderId="0" xfId="0" applyNumberFormat="1" applyFont="1" applyFill="1" applyBorder="1" applyAlignment="1">
      <x:alignment horizontal="center" vertical="center"/>
    </x:xf>
    <x:xf numFmtId="0" fontId="3" fillId="35" xfId="0" applyNumberFormat="1" applyFont="1" applyFill="1" applyBorder="0" applyAlignment="1">
      <x:alignment horizontal="center" vertical="center"/>
    </x:xf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horizontal="center"/>
    </x:xf>
    <x:xf numFmtId="0" fontId="4" fillId="35" xfId="0" applyNumberFormat="1" applyFont="1" applyFill="1" applyBorder="0" applyAlignment="1">
      <x:alignment wrapText="1"/>
    </x:xf>
    <x:xf numFmtId="0" fontId="0" fillId="35" xfId="0" applyNumberFormat="1" applyFont="1" applyFill="1" applyBorder="0" applyAlignment="1">
      <x:alignment wrapText="1"/>
    </x:xf>
    <x:xf numFmtId="0" fontId="3" fillId="35" xfId="0" applyNumberFormat="1" applyFont="1" applyFill="1" applyBorder="0" applyAlignment="1">
      <x:alignment wrapText="1"/>
    </x:xf>
    <x:xf numFmtId="0" fontId="3" fillId="35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5" fillId="36" borderId="0" xfId="0" applyNumberFormat="1" applyFont="1" applyFill="1" applyBorder="1" applyAlignment="1">
      <x:alignment horizontal="center" vertical="center"/>
    </x:xf>
    <x:xf numFmtId="0" fontId="9" fillId="36" borderId="0" xfId="0" applyNumberFormat="1" applyFont="1" applyFill="1" applyBorder="1" applyAlignment="1">
      <x:alignment horizontal="center" vertical="center"/>
    </x:xf>
    <x:xf numFmtId="0" fontId="9" fillId="36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4" fillId="4" xfId="0" applyNumberFormat="1" applyFont="1" applyFill="1" applyBorder="0" applyAlignment="1">
      <x:alignment wrapText="1"/>
    </x:xf>
    <x:xf numFmtId="0" fontId="0" fillId="4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wrapText="1"/>
    </x:xf>
    <x:xf numFmtId="0" fontId="5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3" fillId="37" borderId="0" xfId="0" applyNumberFormat="1" applyFont="1" applyFill="1" applyBorder="1" applyAlignment="1">
      <x:alignment horizontal="center"/>
    </x:xf>
    <x:xf numFmtId="0" fontId="3" fillId="37" borderId="0" xfId="0" applyNumberFormat="1" applyFont="1" applyFill="1" applyBorder="1" applyAlignment="1">
      <x:alignment horizontal="center" wrapText="1"/>
    </x:xf>
    <x:xf numFmtId="0" fontId="3" fillId="37" borderId="0" xfId="0" applyNumberFormat="1" applyFont="1" applyFill="1" applyBorder="1" applyAlignment="1">
      <x:alignment horizontal="center" vertical="center" wrapText="1"/>
    </x:xf>
    <x:xf numFmtId="0" fontId="3" fillId="38" xfId="0" applyNumberFormat="1" applyFont="1" applyFill="1" applyBorder="0" applyAlignment="1">
      <x:alignment horizontal="center" wrapText="1"/>
    </x:xf>
    <x:xf numFmtId="0" fontId="3" fillId="38" xfId="0" applyNumberFormat="1" applyFont="1" applyFill="1" applyBorder="0" applyAlignment="1">
      <x:alignment horizontal="center" vertical="center" wrapText="1"/>
    </x:xf>
    <x:xf numFmtId="0" fontId="5" fillId="39" borderId="0" xfId="0" applyNumberFormat="1" applyFont="1" applyFill="1" applyBorder="1" applyAlignment="1">
      <x:alignment horizontal="center" vertical="center"/>
    </x:xf>
    <x:xf numFmtId="0" fontId="9" fillId="39" borderId="0" xfId="0" applyNumberFormat="1" applyFont="1" applyFill="1" applyBorder="1" applyAlignment="1">
      <x:alignment horizontal="center" vertical="center" wrapText="1"/>
    </x:xf>
    <x:xf numFmtId="0" fontId="2" fillId="39" borderId="0" xfId="0" applyNumberFormat="1" applyFont="1" applyFill="1" applyBorder="1" applyAlignment="1">
      <x:alignment horizontal="center"/>
    </x:xf>
    <x:xf numFmtId="0" fontId="10" fillId="39" borderId="0" xfId="0" applyNumberFormat="1" applyFont="1" applyFill="1" applyBorder="1" applyAlignment="1">
      <x:alignment horizontal="center" vertical="center"/>
    </x:xf>
    <x:xf numFmtId="0" fontId="10" fillId="39" borderId="0" xfId="0" applyNumberFormat="1" applyFont="1" applyFill="1" applyBorder="1" applyAlignment="1">
      <x:alignment horizontal="center" vertical="center" wrapText="1"/>
    </x:xf>
    <x:xf numFmtId="0" fontId="10" fillId="39" borderId="0" xfId="0" applyNumberFormat="1" applyFont="1" applyFill="1" applyBorder="1" applyAlignment="1">
      <x:alignment horizontal="center"/>
    </x:xf>
    <x:xf numFmtId="0" fontId="10" fillId="39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4" xfId="0" applyNumberFormat="1" applyFont="1" applyFill="1" applyBorder="0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 wrapText="1"/>
    </x:xf>
    <x:xf numFmtId="0" fontId="0" fillId="40" borderId="0" xfId="0" applyNumberFormat="1" applyFont="1" applyFill="1" applyBorder="1"/>
    <x:xf numFmtId="0" fontId="11" fillId="40" borderId="0" xfId="0" applyNumberFormat="1" applyFont="1" applyFill="1" applyBorder="1"/>
    <x:xf numFmtId="0" fontId="11" fillId="40" borderId="0" xfId="0" applyNumberFormat="1" applyFont="1" applyFill="1" applyBorder="1" applyAlignment="1">
      <x:alignment wrapText="1"/>
    </x:xf>
    <x:xf numFmtId="0" fontId="11" fillId="40" borderId="0" xfId="0" applyNumberFormat="1" applyFont="1" applyFill="1" applyBorder="1" applyAlignment="1">
      <x:alignment horizontal="center" wrapText="1"/>
    </x:xf>
    <x:xf numFmtId="0" fontId="11" fillId="4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horizont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wrapText="1"/>
    </x:xf>
    <x:xf numFmtId="0" fontId="2" fillId="41" borderId="0" xfId="0" applyNumberFormat="1" applyFont="1" applyFill="1" applyBorder="1" applyAlignment="1">
      <x:alignment horizontal="center" wrapText="1"/>
    </x:xf>
    <x:xf numFmtId="0" fontId="2" fillId="41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2" xfId="0" applyNumberFormat="1" applyFont="1" applyFill="1" applyBorder="0" applyAlignment="1">
      <x:alignment wrapText="1"/>
    </x:xf>
    <x:xf numFmtId="0" fontId="8" fillId="42" xfId="0" applyNumberFormat="1" applyFont="1" applyFill="1" applyBorder="0" applyAlignment="1">
      <x:alignment wrapText="1"/>
    </x:xf>
    <x:xf numFmtId="0" fontId="8" fillId="42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horizontal="center" wrapText="1"/>
    </x:xf>
    <x:xf numFmtId="0" fontId="0" fillId="43" borderId="0" xfId="0" applyNumberFormat="1" applyFont="1" applyFill="1" applyBorder="1"/>
    <x:xf numFmtId="0" fontId="7" fillId="43" borderId="0" xfId="0" applyNumberFormat="1" applyFont="1" applyFill="1" applyBorder="1"/>
    <x:xf numFmtId="0" fontId="7" fillId="43" borderId="0" xfId="0" applyNumberFormat="1" applyFont="1" applyFill="1" applyBorder="1" applyAlignment="1">
      <x:alignment wrapText="1"/>
    </x:xf>
    <x:xf numFmtId="0" fontId="7" fillId="43" borderId="0" xfId="0" applyNumberFormat="1" applyFont="1" applyFill="1" applyBorder="1" applyAlignment="1">
      <x:alignment horizontal="center" wrapText="1"/>
    </x:xf>
    <x:xf numFmtId="0" fontId="7" fillId="43" borderId="0" xfId="0" applyNumberFormat="1" applyFont="1" applyFill="1" applyBorder="1" applyAlignment="1">
      <x:alignment horizontal="center" vertical="center" wrapText="1"/>
    </x:xf>
    <x:xf numFmtId="0" fontId="0" fillId="8" xfId="0" applyNumberFormat="1" applyFont="1" applyFill="1" applyBorder="0" applyAlignment="1">
      <x:alignment wrapText="1"/>
    </x:xf>
    <x:xf numFmtId="0" fontId="8" fillId="8" xfId="0" applyNumberFormat="1" applyFont="1" applyFill="1" applyBorder="0" applyAlignment="1">
      <x:alignment wrapText="1"/>
    </x:xf>
    <x:xf numFmtId="0" fontId="8" fillId="8" xfId="0" applyNumberFormat="1" applyFont="1" applyFill="1" applyBorder="0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/>
    <x:xf numFmtId="0" fontId="11" fillId="44" borderId="0" xfId="0" applyNumberFormat="1" applyFont="1" applyFill="1" applyBorder="1"/>
    <x:xf numFmtId="0" fontId="11" fillId="44" borderId="0" xfId="0" applyNumberFormat="1" applyFont="1" applyFill="1" applyBorder="1" applyAlignment="1">
      <x:alignment wrapText="1"/>
    </x:xf>
    <x:xf numFmtId="0" fontId="11" fillId="44" borderId="0" xfId="0" applyNumberFormat="1" applyFont="1" applyFill="1" applyBorder="1" applyAlignment="1">
      <x:alignment horizontal="center" wrapText="1"/>
    </x:xf>
    <x:xf numFmtId="0" fontId="11" fillId="4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3730A3"/>
      </x:font>
      <x:fill>
        <x:patternFill>
          <x:bgColor rgb="FFE0E7FF"/>
        </x:patternFill>
      </x:fill>
    </x:dxf>
    <x:dxf>
      <x:font>
        <x:b/>
        <x:color rgb="FF6B7280"/>
      </x:font>
      <x:fill>
        <x:patternFill>
          <x:bgColor rgb="FFF3F4F6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b/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color rgb="FF166534"/>
      </x:font>
      <x:fill>
        <x:patternFill>
          <x:bgColor rgb="FFECFDF5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6B21A8"/>
      </x:font>
      <x:fill>
        <x:patternFill>
          <x:bgColor rgb="FFF3E8F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5f071a1ebd45c4" /><Relationship Type="http://schemas.openxmlformats.org/officeDocument/2006/relationships/theme" Target="/xl/theme/theme1.xml" Id="R6619ad88daa64818" /><Relationship Type="http://schemas.openxmlformats.org/officeDocument/2006/relationships/sharedStrings" Target="/xl/sharedStrings.xml" Id="R127b150e82de4c16" /><Relationship Type="http://schemas.openxmlformats.org/officeDocument/2006/relationships/worksheet" Target="/xl/worksheets/sheet1.xml" Id="Rd53384b2997d4bad" /><Relationship Type="http://schemas.openxmlformats.org/officeDocument/2006/relationships/worksheet" Target="/xl/worksheets/sheet2.xml" Id="Reb45f3451b444f25" /><Relationship Type="http://schemas.openxmlformats.org/officeDocument/2006/relationships/worksheet" Target="/xl/worksheets/sheet3.xml" Id="Rd3e9e27fab9b43b2" /><Relationship Type="http://schemas.openxmlformats.org/officeDocument/2006/relationships/worksheet" Target="/xl/worksheets/sheet4.xml" Id="Rd3a8a2a1bd794be1" /><Relationship Type="http://schemas.openxmlformats.org/officeDocument/2006/relationships/worksheet" Target="/xl/worksheets/sheet5.xml" Id="Rd7df93b29b5f475c" /><Relationship Type="http://schemas.openxmlformats.org/officeDocument/2006/relationships/worksheet" Target="/xl/worksheets/sheet6.xml" Id="R0dec4891885940a6" /><Relationship Type="http://schemas.openxmlformats.org/officeDocument/2006/relationships/worksheet" Target="/xl/worksheets/sheet7.xml" Id="R6694c4f6d9ca46f5" /><Relationship Type="http://schemas.openxmlformats.org/officeDocument/2006/relationships/worksheet" Target="/xl/worksheets/sheet8.xml" Id="R4e9d66a36967466c" /><Relationship Type="http://schemas.openxmlformats.org/officeDocument/2006/relationships/worksheet" Target="/xl/worksheets/sheet9.xml" Id="R1c2b838e7d5a4f1c" /><Relationship Type="http://schemas.openxmlformats.org/officeDocument/2006/relationships/worksheet" Target="/xl/worksheets/sheet10.xml" Id="Rc029f0d63ee34147" /><Relationship Type="http://schemas.openxmlformats.org/officeDocument/2006/relationships/worksheet" Target="/xl/worksheets/sheet11.xml" Id="Re5356c6305024e22" /><Relationship Type="http://schemas.openxmlformats.org/officeDocument/2006/relationships/worksheet" Target="/xl/worksheets/sheet12.xml" Id="Rfe493cdb68a74a0f" /><Relationship Type="http://schemas.openxmlformats.org/officeDocument/2006/relationships/worksheet" Target="/xl/worksheets/sheet13.xml" Id="R3bc17079546a4798" /><Relationship Type="http://schemas.openxmlformats.org/officeDocument/2006/relationships/worksheet" Target="/xl/worksheets/sheet14.xml" Id="R98a18b1e263a49f9" /><Relationship Type="http://schemas.openxmlformats.org/officeDocument/2006/relationships/worksheet" Target="/xl/worksheets/sheet15.xml" Id="R4a01ac2702b149fc" /><Relationship Type="http://schemas.openxmlformats.org/officeDocument/2006/relationships/worksheet" Target="/xl/worksheets/sheet16.xml" Id="R9625dd58a22547ae" /><Relationship Type="http://schemas.openxmlformats.org/officeDocument/2006/relationships/worksheet" Target="/xl/worksheets/sheet17.xml" Id="R9885915ee5d64b41" /><Relationship Type="http://schemas.openxmlformats.org/officeDocument/2006/relationships/worksheet" Target="/xl/worksheets/sheet18.xml" Id="R32636d35814b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21" hidden="0" customWidth="1"/>
    <x:col min="4" max="4" width="28" hidden="0" customWidth="1"/>
    <x:col min="5" max="5" width="25" hidden="0" customWidth="1"/>
    <x:col min="6" max="6" width="31" hidden="0" customWidth="1"/>
    <x:col min="7" max="7" width="8" hidden="0" customWidth="1"/>
    <x:col min="8" max="8" width="8" hidden="0" customWidth="1"/>
    <x:col min="10" max="10" width="11" hidden="0" customWidth="1"/>
    <x:col min="11" max="11" width="10" hidden="0" customWidth="1"/>
    <x:col min="9" max="9" width="10" hidden="0" customWidth="1"/>
    <x:col min="12" max="12" width="14" hidden="0" customWidth="1"/>
    <x:col min="13" max="13" width="18" hidden="0" customWidth="1"/>
  </x:cols>
  <x:sheetData>
    <x:row r="1">
      <x:c r="A1" s="5" t="str">
        <x:v>Production AI Engineer｜12周学习主计划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原则：每周只学 1 个核心主题｜Backend + Agent 同步推进｜每周必须有 1 个 ChatBI 可见成果</x:v>
      </x:c>
      <x:c r="B3" s="12"/>
      <x:c r="C3" s="12"/>
      <x:c r="D3" s="12"/>
      <x:c r="E3" s="12"/>
      <x:c r="F3" s="12"/>
      <x:c r="G3" s="12"/>
      <x:c r="H3" s="12"/>
    </x:row>
    <x:row r="5">
      <x:c r="A5" s="127" t="str">
        <x:v>周</x:v>
      </x:c>
      <x:c r="B5" s="127" t="str">
        <x:v>阶段</x:v>
      </x:c>
      <x:c r="C5" s="127" t="str">
        <x:v>本周主题</x:v>
      </x:c>
      <x:c r="D5" s="127" t="str">
        <x:v>Backend</x:v>
      </x:c>
      <x:c r="E5" s="127" t="str">
        <x:v>Agent</x:v>
      </x:c>
      <x:c r="F5" s="127" t="str">
        <x:v>ChatBI 本周成果</x:v>
      </x:c>
      <x:c r="G5" s="127" t="str">
        <x:v>保底</x:v>
      </x:c>
      <x:c r="H5" s="127" t="str">
        <x:v>建议</x:v>
      </x:c>
      <x:c r="I5" s="127" t="str">
        <x:v>进度</x:v>
      </x:c>
      <x:c r="J5" s="130" t="str">
        <x:v>状态</x:v>
      </x:c>
      <x:c r="K5" s="78"/>
      <x:c r="L5" s="139" t="str">
        <x:v>计划概览</x:v>
      </x:c>
      <x:c r="M5" s="139" t="str"/>
    </x:row>
    <x:row r="6" ht="40" customHeight="1">
      <x:c r="A6" s="24" t="n">
        <x:v>1</x:v>
      </x:c>
      <x:c r="B6" s="131" t="str">
        <x:v>基础</x:v>
      </x:c>
      <x:c r="C6" s="24" t="str">
        <x:v>跑通最小闭环</x:v>
      </x:c>
      <x:c r="D6" s="24" t="str">
        <x:v>HTTP / FastAPI / Pydantic</x:v>
      </x:c>
      <x:c r="E6" s="24" t="str">
        <x:v>Agent Loop / Structured Output</x:v>
      </x:c>
      <x:c r="F6" s="24" t="str">
        <x:v>自然语言 → 结构化 Intent</x:v>
      </x:c>
      <x:c r="G6" s="24" t="str">
        <x:v>4h</x:v>
      </x:c>
      <x:c r="H6" s="71" t="str">
        <x:v>4h</x:v>
      </x:c>
      <x:c r="I6" s="71" t="n">
        <x:f>'W01 最小闭环'!G3</x:f>
        <x:v>0</x:v>
      </x:c>
      <x:c r="J6" s="126" t="str">
        <x:f>IF(I6=0,"未开始",IF(I6=1,"已完成","进行中"))</x:f>
        <x:v>未开始</x:v>
      </x:c>
      <x:c r="K6" s="80"/>
      <x:c r="L6" s="140" t="str">
        <x:v>保底总时长</x:v>
      </x:c>
      <x:c r="M6" s="80" t="n">
        <x:v>48</x:v>
      </x:c>
    </x:row>
    <x:row r="7" ht="40" customHeight="1">
      <x:c r="A7" s="24" t="n">
        <x:v>2</x:v>
      </x:c>
      <x:c r="B7" s="131" t="str">
        <x:v>基础</x:v>
      </x:c>
      <x:c r="C7" s="24" t="str">
        <x:v>代码分层 + Tool</x:v>
      </x:c>
      <x:c r="D7" s="24" t="str">
        <x:v>Router / Service / Repository</x:v>
      </x:c>
      <x:c r="E7" s="24" t="str">
        <x:v>Tool Calling</x:v>
      </x:c>
      <x:c r="F7" s="24" t="str">
        <x:v>Agent 可调用查询工具</x:v>
      </x:c>
      <x:c r="G7" s="24" t="str">
        <x:v>4h</x:v>
      </x:c>
      <x:c r="H7" s="71" t="str">
        <x:v>4h</x:v>
      </x:c>
      <x:c r="I7" s="71" t="n">
        <x:f>'W02 分层与Tool'!G3</x:f>
        <x:v>0</x:v>
      </x:c>
      <x:c r="J7" s="126" t="str">
        <x:f>IF(I7=0,"未开始",IF(I7=1,"已完成","进行中"))</x:f>
        <x:v>未开始</x:v>
      </x:c>
      <x:c r="K7" s="80"/>
      <x:c r="L7" s="140" t="str">
        <x:v>建议总时长</x:v>
      </x:c>
      <x:c r="M7" s="80" t="n">
        <x:v>58</x:v>
      </x:c>
    </x:row>
    <x:row r="8" ht="40" customHeight="1">
      <x:c r="A8" s="24" t="n">
        <x:v>3</x:v>
      </x:c>
      <x:c r="B8" s="131" t="str">
        <x:v>基础</x:v>
      </x:c>
      <x:c r="C8" s="24" t="str">
        <x:v>异步与并发</x:v>
      </x:c>
      <x:c r="D8" s="24" t="str">
        <x:v>AsyncIO / Semaphore / Timeout</x:v>
      </x:c>
      <x:c r="E8" s="24" t="str">
        <x:v>并行 Tool</x:v>
      </x:c>
      <x:c r="F8" s="24" t="str">
        <x:v>Sync vs Async 对比</x:v>
      </x:c>
      <x:c r="G8" s="24" t="str">
        <x:v>4h</x:v>
      </x:c>
      <x:c r="H8" s="71" t="str">
        <x:v>5h</x:v>
      </x:c>
      <x:c r="I8" s="71" t="n">
        <x:f>'W03 异步并发'!G3</x:f>
        <x:v>0</x:v>
      </x:c>
      <x:c r="J8" s="126" t="str">
        <x:f>IF(I8=0,"未开始",IF(I8=1,"已完成","进行中"))</x:f>
        <x:v>未开始</x:v>
      </x:c>
      <x:c r="K8" s="81"/>
      <x:c r="L8" s="140" t="str">
        <x:v>已完成周数</x:v>
      </x:c>
      <x:c r="M8" s="80" t="n">
        <x:f>COUNTIF(J6:J17,"已完成")</x:f>
        <x:v>0</x:v>
      </x:c>
    </x:row>
    <x:row r="9" ht="40" customHeight="1">
      <x:c r="A9" s="24" t="n">
        <x:v>4</x:v>
      </x:c>
      <x:c r="B9" s="131" t="str">
        <x:v>基础</x:v>
      </x:c>
      <x:c r="C9" s="24" t="str">
        <x:v>状态与数据库</x:v>
      </x:c>
      <x:c r="D9" s="24" t="str">
        <x:v>PostgreSQL / ORM / Migration</x:v>
      </x:c>
      <x:c r="E9" s="24" t="str">
        <x:v>Agent State</x:v>
      </x:c>
      <x:c r="F9" s="24" t="str">
        <x:v>保存会话与 Job</x:v>
      </x:c>
      <x:c r="G9" s="24" t="str">
        <x:v>4h</x:v>
      </x:c>
      <x:c r="H9" s="71" t="str">
        <x:v>5h</x:v>
      </x:c>
      <x:c r="I9" s="71" t="n">
        <x:f>'W04 状态与DB'!G3</x:f>
        <x:v>0</x:v>
      </x:c>
      <x:c r="J9" s="24" t="str">
        <x:f>IF(I9=0,"未开始",IF(I9=1,"已完成","进行中"))</x:f>
        <x:v>未开始</x:v>
      </x:c>
      <x:c r="L9" s="140" t="str">
        <x:v>总进度</x:v>
      </x:c>
      <x:c r="M9" s="81" t="n">
        <x:f>AVERAGE(I6:I17)</x:f>
        <x:v>0</x:v>
      </x:c>
    </x:row>
    <x:row r="10" ht="40" customHeight="1">
      <x:c r="A10" s="24" t="n">
        <x:v>5</x:v>
      </x:c>
      <x:c r="B10" s="132" t="str">
        <x:v>生产化</x:v>
      </x:c>
      <x:c r="C10" s="24" t="str">
        <x:v>数据一致性</x:v>
      </x:c>
      <x:c r="D10" s="24" t="str">
        <x:v>Transaction / Lock / Pool</x:v>
      </x:c>
      <x:c r="E10" s="24" t="str">
        <x:v>Checkpoint / Resume</x:v>
      </x:c>
      <x:c r="F10" s="24" t="str">
        <x:v>并发更新不丢状态</x:v>
      </x:c>
      <x:c r="G10" s="24" t="str">
        <x:v>4h</x:v>
      </x:c>
      <x:c r="H10" s="71" t="str">
        <x:v>6h</x:v>
      </x:c>
      <x:c r="I10" s="71" t="n">
        <x:f>'W05 事务与恢复'!G3</x:f>
        <x:v>0</x:v>
      </x:c>
      <x:c r="J10" s="24" t="str">
        <x:f>IF(I10=0,"未开始",IF(I10=1,"已完成","进行中"))</x:f>
        <x:v>未开始</x:v>
      </x:c>
      <x:c r="L10" s="140" t="str">
        <x:v>目标</x:v>
      </x:c>
      <x:c r="M10" s="80" t="str">
        <x:v>Production AI 基础闭环</x:v>
      </x:c>
    </x:row>
    <x:row r="11" ht="40" customHeight="1">
      <x:c r="A11" s="24" t="n">
        <x:v>6</x:v>
      </x:c>
      <x:c r="B11" s="132" t="str">
        <x:v>生产化</x:v>
      </x:c>
      <x:c r="C11" s="24" t="str">
        <x:v>真正开始问数</x:v>
      </x:c>
      <x:c r="D11" s="24" t="str">
        <x:v>Query Validation / SQL</x:v>
      </x:c>
      <x:c r="E11" s="24" t="str">
        <x:v>Deterministic vs Agentic</x:v>
      </x:c>
      <x:c r="F11" s="24" t="str">
        <x:v>自然语言 → SQL → 表格</x:v>
      </x:c>
      <x:c r="G11" s="24" t="str">
        <x:v>4h</x:v>
      </x:c>
      <x:c r="H11" s="71" t="str">
        <x:v>6h</x:v>
      </x:c>
      <x:c r="I11" s="71" t="n">
        <x:f>'W06 自然语言问数'!G3</x:f>
        <x:v>0</x:v>
      </x:c>
      <x:c r="J11" s="24" t="str">
        <x:f>IF(I11=0,"未开始",IF(I11=1,"已完成","进行中"))</x:f>
        <x:v>未开始</x:v>
      </x:c>
    </x:row>
    <x:row r="12" ht="40" customHeight="1">
      <x:c r="A12" s="24" t="n">
        <x:v>7</x:v>
      </x:c>
      <x:c r="B12" s="132" t="str">
        <x:v>生产化</x:v>
      </x:c>
      <x:c r="C12" s="24" t="str">
        <x:v>可部署运行</x:v>
      </x:c>
      <x:c r="D12" s="24" t="str">
        <x:v>Docker / Compose</x:v>
      </x:c>
      <x:c r="E12" s="24" t="str">
        <x:v>MCP 基础</x:v>
      </x:c>
      <x:c r="F12" s="24" t="str">
        <x:v>服务一键启动</x:v>
      </x:c>
      <x:c r="G12" s="24" t="str">
        <x:v>4h</x:v>
      </x:c>
      <x:c r="H12" s="71" t="str">
        <x:v>4h</x:v>
      </x:c>
      <x:c r="I12" s="71" t="n">
        <x:f>'W07 Docker与MCP'!G3</x:f>
        <x:v>0</x:v>
      </x:c>
      <x:c r="J12" s="24" t="str">
        <x:f>IF(I12=0,"未开始",IF(I12=1,"已完成","进行中"))</x:f>
        <x:v>未开始</x:v>
      </x:c>
    </x:row>
    <x:row r="13" ht="40" customHeight="1">
      <x:c r="A13" s="24" t="n">
        <x:v>8</x:v>
      </x:c>
      <x:c r="B13" s="132" t="str">
        <x:v>生产化</x:v>
      </x:c>
      <x:c r="C13" s="24" t="str">
        <x:v>长任务处理</x:v>
      </x:c>
      <x:c r="D13" s="24" t="str">
        <x:v>Redis / Queue / Worker</x:v>
      </x:c>
      <x:c r="E13" s="24" t="str">
        <x:v>Long-running Task</x:v>
      </x:c>
      <x:c r="F13" s="24" t="str">
        <x:v>复杂分析转后台 Job</x:v>
      </x:c>
      <x:c r="G13" s="24" t="str">
        <x:v>4h</x:v>
      </x:c>
      <x:c r="H13" s="71" t="str">
        <x:v>5h</x:v>
      </x:c>
      <x:c r="I13" s="71" t="n">
        <x:f>'W08 Queue与Worker'!G3</x:f>
        <x:v>0</x:v>
      </x:c>
      <x:c r="J13" s="24" t="str">
        <x:f>IF(I13=0,"未开始",IF(I13=1,"已完成","进行中"))</x:f>
        <x:v>未开始</x:v>
      </x:c>
    </x:row>
    <x:row r="14" ht="40" customHeight="1">
      <x:c r="A14" s="24" t="n">
        <x:v>9</x:v>
      </x:c>
      <x:c r="B14" s="133" t="str">
        <x:v>可靠性</x:v>
      </x:c>
      <x:c r="C14" s="24" t="str">
        <x:v>失败与重试</x:v>
      </x:c>
      <x:c r="D14" s="24" t="str">
        <x:v>Retry / Backoff / Idempotency</x:v>
      </x:c>
      <x:c r="E14" s="24" t="str">
        <x:v>HITL / Tool Failure</x:v>
      </x:c>
      <x:c r="F14" s="24" t="str">
        <x:v>重复请求不重复执行</x:v>
      </x:c>
      <x:c r="G14" s="24" t="str">
        <x:v>4h</x:v>
      </x:c>
      <x:c r="H14" s="71" t="str">
        <x:v>5h</x:v>
      </x:c>
      <x:c r="I14" s="71" t="n">
        <x:f>'W09 可靠性'!G3</x:f>
        <x:v>0</x:v>
      </x:c>
      <x:c r="J14" s="24" t="str">
        <x:f>IF(I14=0,"未开始",IF(I14=1,"已完成","进行中"))</x:f>
        <x:v>未开始</x:v>
      </x:c>
    </x:row>
    <x:row r="15" ht="40" customHeight="1">
      <x:c r="A15" s="24" t="n">
        <x:v>10</x:v>
      </x:c>
      <x:c r="B15" s="133" t="str">
        <x:v>可靠性</x:v>
      </x:c>
      <x:c r="C15" s="24" t="str">
        <x:v>可观测 + 评估</x:v>
      </x:c>
      <x:c r="D15" s="24" t="str">
        <x:v>Logs / Trace / Metrics</x:v>
      </x:c>
      <x:c r="E15" s="24" t="str">
        <x:v>Agent Trace / Eval</x:v>
      </x:c>
      <x:c r="F15" s="24" t="str">
        <x:v>可定位慢请求/失败</x:v>
      </x:c>
      <x:c r="G15" s="24" t="str">
        <x:v>4h</x:v>
      </x:c>
      <x:c r="H15" s="71" t="str">
        <x:v>5h</x:v>
      </x:c>
      <x:c r="I15" s="71" t="n">
        <x:f>'W10 可观测与评估'!G3</x:f>
        <x:v>0</x:v>
      </x:c>
      <x:c r="J15" s="24" t="str">
        <x:f>IF(I15=0,"未开始",IF(I15=1,"已完成","进行中"))</x:f>
        <x:v>未开始</x:v>
      </x:c>
    </x:row>
    <x:row r="16" ht="40" customHeight="1">
      <x:c r="A16" s="24" t="n">
        <x:v>11</x:v>
      </x:c>
      <x:c r="B16" s="133" t="str">
        <x:v>可靠性</x:v>
      </x:c>
      <x:c r="C16" s="24" t="str">
        <x:v>性能与质量</x:v>
      </x:c>
      <x:c r="D16" s="24" t="str">
        <x:v>Load Test / Pool Tuning</x:v>
      </x:c>
      <x:c r="E16" s="24" t="str">
        <x:v>Robustness</x:v>
      </x:c>
      <x:c r="F16" s="24" t="str">
        <x:v>压测 + 质量评估</x:v>
      </x:c>
      <x:c r="G16" s="24" t="str">
        <x:v>4h</x:v>
      </x:c>
      <x:c r="H16" s="71" t="str">
        <x:v>5h</x:v>
      </x:c>
      <x:c r="I16" s="71" t="n">
        <x:f>'W11 性能与质量'!G3</x:f>
        <x:v>0</x:v>
      </x:c>
      <x:c r="J16" s="24" t="str">
        <x:f>IF(I16=0,"未开始",IF(I16=1,"已完成","进行中"))</x:f>
        <x:v>未开始</x:v>
      </x:c>
    </x:row>
    <x:row r="17" ht="40" customHeight="1">
      <x:c r="A17" s="24" t="n">
        <x:v>12</x:v>
      </x:c>
      <x:c r="B17" s="134" t="str">
        <x:v>总结</x:v>
      </x:c>
      <x:c r="C17" s="24" t="str">
        <x:v>系统设计与复盘</x:v>
      </x:c>
      <x:c r="D17" s="24" t="str">
        <x:v>System Design</x:v>
      </x:c>
      <x:c r="E17" s="24" t="str">
        <x:v>Agent Architecture</x:v>
      </x:c>
      <x:c r="F17" s="24" t="str">
        <x:v>完整 Demo + 架构图</x:v>
      </x:c>
      <x:c r="G17" s="24" t="str">
        <x:v>4h</x:v>
      </x:c>
      <x:c r="H17" s="71" t="str">
        <x:v>4h</x:v>
      </x:c>
      <x:c r="I17" s="71" t="n">
        <x:f>'W12 Capstone'!G3</x:f>
        <x:v>0</x:v>
      </x:c>
      <x:c r="J17" s="24" t="str">
        <x:f>IF(I17=0,"未开始",IF(I17=1,"已完成","进行中"))</x:f>
        <x:v>未开始</x:v>
      </x:c>
    </x:row>
    <x:row r="20" ht="34" customHeight="1">
      <x:c r="A20" s="172" t="str">
        <x:v>学习规则更新：不是“没写就跳”，而是按 A/B/C/D 管理。A 必须掌握；B 必须快速复习，因为后续默认会；C 明确放到 Phase 2；D 当前确实不需要。</x:v>
      </x:c>
      <x:c r="B20" s="172"/>
      <x:c r="C20" s="172"/>
      <x:c r="D20" s="172"/>
      <x:c r="E20" s="172"/>
      <x:c r="F20" s="172"/>
      <x:c r="G20" s="172"/>
      <x:c r="H20" s="172"/>
      <x:c r="I20" s="172"/>
      <x:c r="J20" s="172"/>
    </x:row>
    <x:row r="22" ht="34" customHeight="1">
      <x:c r="A22" s="231" t="str">
        <x:v>Notebook v3：每周均按当前课程映射重做为“核心知识 → 可运行实验 → Failure Lab → ChatBI 接入 → 验收”，12 本核心代码已逐本运行验证。</x:v>
      </x:c>
      <x:c r="B22" s="231"/>
      <x:c r="C22" s="231"/>
      <x:c r="D22" s="231"/>
      <x:c r="E22" s="231"/>
      <x:c r="F22" s="231"/>
      <x:c r="G22" s="231"/>
      <x:c r="H22" s="231"/>
      <x:c r="I22" s="231"/>
      <x:c r="J22" s="231"/>
    </x:row>
    <x:row r="23" ht="34" customHeight="1">
      <x:c r="A23" s="241" t="str">
        <x:v>Notebook v4 教学版：每周包含 What/Why/When、英文术语、代码观察目标、Checkpoint、动手题、折叠答案、ChatBI 作业和面试题。</x:v>
      </x:c>
      <x:c r="B23" s="241"/>
      <x:c r="C23" s="241"/>
      <x:c r="D23" s="241"/>
      <x:c r="E23" s="241"/>
      <x:c r="F23" s="241"/>
      <x:c r="G23" s="241"/>
      <x:c r="H23" s="241"/>
      <x:c r="I23" s="241"/>
      <x:c r="J23" s="241"/>
    </x:row>
    <x:row r="24" ht="36" customHeight="1">
      <x:c r="A24" s="253" t="str">
        <x:v>进度联动：下方课程映射/Notebook 小项勾 ✓ → 自动完成每周 Backend/Agent/Lab 三个宏任务 → G3 周进度 → 主计划进度；ChatBI 与复盘由你手动勾。</x:v>
      </x:c>
      <x:c r="B24" s="253"/>
      <x:c r="C24" s="253"/>
      <x:c r="D24" s="253"/>
      <x:c r="E24" s="253"/>
      <x:c r="F24" s="253"/>
      <x:c r="G24" s="253"/>
      <x:c r="H24" s="253"/>
      <x:c r="I24" s="253"/>
      <x:c r="J24" s="253"/>
    </x:row>
    <x:row r="25" ht="36" customHeight="1">
      <x:c r="A25" s="262" t="str">
        <x:v>Notebook v5 Task-Aligned：每周 Excel 的 5 个任务已在 Notebook 开头逐条映射；可客观判定的题给参考答案，架构/画图/复盘题给参考实现与验收标准。</x:v>
      </x:c>
      <x:c r="B25" s="262"/>
      <x:c r="C25" s="262"/>
      <x:c r="D25" s="262"/>
      <x:c r="E25" s="262"/>
      <x:c r="F25" s="262"/>
      <x:c r="G25" s="262"/>
      <x:c r="H25" s="262"/>
      <x:c r="I25" s="262"/>
      <x:c r="J25" s="262"/>
    </x:row>
  </x:sheetData>
  <x:mergeCells>
    <x:mergeCell ref="A1:H2"/>
    <x:mergeCell ref="A3:H3"/>
    <x:mergeCell ref="A20:J20"/>
    <x:mergeCell ref="A22:J22"/>
    <x:mergeCell ref="A23:J23"/>
    <x:mergeCell ref="A24:J24"/>
    <x:mergeCell ref="A25:J25"/>
  </x:mergeCells>
  <x:conditionalFormatting sqref="H6:H17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{1E50C093-FC3C-C561-D878-6A8351B9EF2F}</x14:id>
        </x:ext>
      </x:extLst>
    </x:cfRule>
  </x:conditionalFormatting>
  <x:conditionalFormatting sqref="K8:K8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{B0B888D2-932C-DAA4-9903-32D9421D0EDF}</x14:id>
        </x:ext>
      </x:extLst>
    </x:cfRule>
  </x:conditionalFormatting>
  <x:conditionalFormatting sqref="J6:J17">
    <x:cfRule type="expression" dxfId="16" priority="9">
      <x:formula>J6="已完成"</x:formula>
    </x:cfRule>
    <x:cfRule type="expression" dxfId="17" priority="10">
      <x:formula>J6="进行中"</x:formula>
    </x:cfRule>
  </x:conditionalFormatting>
  <x:conditionalFormatting sqref="I6:I17">
    <x:cfRule type="dataBar" priority="1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{70381186-CAD7-6328-90C0-BF9BF32BC696}</x14:id>
        </x:ext>
      </x:extLst>
    </x:cfRule>
  </x:conditionalFormatting>
  <x:dataValidations count="1">
    <x:dataValidation type="list" sqref="H6:H17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E50C093-FC3C-C561-D878-6A8351B9EF2F}">
            <x14:dataBar gradient="1">
              <x14:cfvo type="min"/>
              <x14:cfvo type="max"/>
              <x14:fillColor rgb="FFA02B93"/>
            </x14:dataBar>
          </x14:cfRule>
          <xm:sqref>H6:H17</xm:sqref>
        </x14:conditionalFormatting>
        <x14:conditionalFormatting>
          <x14:cfRule type="dataBar" priority="7" id="{B0B888D2-932C-DAA4-9903-32D9421D0EDF}">
            <x14:dataBar gradient="1">
              <x14:cfvo type="min"/>
              <x14:cfvo type="max"/>
              <x14:fillColor rgb="FFA02B93"/>
            </x14:dataBar>
          </x14:cfRule>
          <xm:sqref>K8:K8</xm:sqref>
        </x14:conditionalFormatting>
        <x14:conditionalFormatting>
          <x14:cfRule type="dataBar" priority="11" id="{70381186-CAD7-6328-90C0-BF9BF32BC696}">
            <x14:dataBar gradient="1">
              <x14:cfvo type="min"/>
              <x14:cfvo type="max"/>
              <x14:fillColor rgb="FFA02B93"/>
            </x14:dataBar>
          </x14:cfRule>
          <xm:sqref>I6:I17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5" hidden="0" customWidth="1"/>
    <x:col min="5" max="5" width="34" hidden="0" customWidth="1"/>
    <x:col min="6" max="6" width="32" hidden="0" customWidth="1"/>
  </x:cols>
  <x:sheetData>
    <x:row r="1">
      <x:c r="A1" s="45" t="str">
        <x:v>每周固定节奏｜只做 4 件事</x:v>
      </x:c>
      <x:c r="B1" s="45"/>
      <x:c r="C1" s="45"/>
      <x:c r="D1" s="45"/>
      <x:c r="E1" s="45"/>
      <x:c r="F1" s="45"/>
    </x:row>
    <x:row r="2">
      <x:c r="A2" s="45"/>
      <x:c r="B2" s="45"/>
      <x:c r="C2" s="45"/>
      <x:c r="D2" s="45"/>
      <x:c r="E2" s="45"/>
      <x:c r="F2" s="45"/>
    </x:row>
    <x:row r="4">
      <x:c r="A4" s="83" t="str">
        <x:v>顺序</x:v>
      </x:c>
      <x:c r="B4" s="83" t="str">
        <x:v>任务</x:v>
      </x:c>
      <x:c r="C4" s="83" t="str">
        <x:v>计划</x:v>
      </x:c>
      <x:c r="D4" s="83" t="str">
        <x:v>重点</x:v>
      </x:c>
      <x:c r="E4" s="83" t="str">
        <x:v>你要做什么</x:v>
      </x:c>
      <x:c r="F4" s="83" t="str">
        <x:v>完成标准</x:v>
      </x:c>
    </x:row>
    <x:row r="5" ht="34" customHeight="1">
      <x:c r="A5" s="84" t="n">
        <x:v>1</x:v>
      </x:c>
      <x:c r="B5" s="84" t="str">
        <x:v>Backend</x:v>
      </x:c>
      <x:c r="C5" s="84" t="str">
        <x:v>1h</x:v>
      </x:c>
      <x:c r="D5" s="84" t="str">
        <x:v>当周工程主题</x:v>
      </x:c>
      <x:c r="E5" s="84" t="str">
        <x:v>只看对应章节 + 记关键概念</x:v>
      </x:c>
      <x:c r="F5" s="84" t="str">
        <x:v>能解释 Why / Failure</x:v>
      </x:c>
    </x:row>
    <x:row r="6" ht="34" customHeight="1">
      <x:c r="A6" s="84" t="n">
        <x:v>2</x:v>
      </x:c>
      <x:c r="B6" s="84" t="str">
        <x:v>Agent</x:v>
      </x:c>
      <x:c r="C6" s="84" t="str">
        <x:v>0.5h</x:v>
      </x:c>
      <x:c r="D6" s="84" t="str">
        <x:v>当周 Agent 主题</x:v>
      </x:c>
      <x:c r="E6" s="84" t="str">
        <x:v>只学 1 个 primitive</x:v>
      </x:c>
      <x:c r="F6" s="84" t="str">
        <x:v>能解释何时该用</x:v>
      </x:c>
    </x:row>
    <x:row r="7" ht="34" customHeight="1">
      <x:c r="A7" s="84" t="n">
        <x:v>3</x:v>
      </x:c>
      <x:c r="B7" s="84" t="str">
        <x:v>Lab + ChatBI</x:v>
      </x:c>
      <x:c r="C7" s="84" t="str">
        <x:v>2h</x:v>
      </x:c>
      <x:c r="D7" s="84" t="str">
        <x:v>动手</x:v>
      </x:c>
      <x:c r="E7" s="84" t="str">
        <x:v>完成实验 + 本周项目功能</x:v>
      </x:c>
      <x:c r="F7" s="84" t="str">
        <x:v>功能可运行</x:v>
      </x:c>
    </x:row>
    <x:row r="8" ht="34" customHeight="1">
      <x:c r="A8" s="84" t="n">
        <x:v>4</x:v>
      </x:c>
      <x:c r="B8" s="84" t="str">
        <x:v>复盘</x:v>
      </x:c>
      <x:c r="C8" s="84" t="str">
        <x:v>0.5h</x:v>
      </x:c>
      <x:c r="D8" s="84" t="str">
        <x:v>固化知识</x:v>
      </x:c>
      <x:c r="E8" s="84" t="str">
        <x:v>勾任务 + 写 3 行总结</x:v>
      </x:c>
      <x:c r="F8" s="84" t="str">
        <x:v>总进度自动更新</x:v>
      </x:c>
    </x:row>
    <x:row r="9">
      <x:c r="A9" s="24"/>
      <x:c r="B9" s="24"/>
      <x:c r="C9" s="24"/>
      <x:c r="D9" s="24"/>
      <x:c r="E9" s="24"/>
      <x:c r="F9" s="24"/>
    </x:row>
    <x:row r="10">
      <x:c r="A10" s="24"/>
      <x:c r="B10" s="24"/>
      <x:c r="C10" s="24"/>
      <x:c r="D10" s="24"/>
      <x:c r="E10" s="24"/>
      <x:c r="F10" s="24"/>
    </x:row>
    <x:row r="11">
      <x:c r="A11" s="60" t="str">
        <x:v>三条规则</x:v>
      </x:c>
      <x:c r="B11" s="60"/>
      <x:c r="C11" s="60"/>
      <x:c r="D11" s="60"/>
      <x:c r="E11" s="60"/>
      <x:c r="F11" s="60"/>
    </x:row>
    <x:row r="12" ht="30" customHeight="1">
      <x:c r="A12" s="61" t="str">
        <x:v>1</x:v>
      </x:c>
      <x:c r="B12" s="24" t="str">
        <x:v>同时只开 Backend + Agent 两门主课</x:v>
      </x:c>
      <x:c r="C12" s="24" t="str"/>
      <x:c r="D12" s="24" t="str"/>
      <x:c r="E12" s="24" t="str"/>
      <x:c r="F12" s="24" t="str"/>
    </x:row>
    <x:row r="13" ht="30" customHeight="1">
      <x:c r="A13" s="61" t="str">
        <x:v>2</x:v>
      </x:c>
      <x:c r="B13" s="24" t="str">
        <x:v>课程不要求看完；本周主题学会即可</x:v>
      </x:c>
      <x:c r="C13" s="24" t="str"/>
      <x:c r="D13" s="24" t="str"/>
      <x:c r="E13" s="24" t="str"/>
      <x:c r="F13" s="24" t="str"/>
    </x:row>
    <x:row r="14" ht="30" customHeight="1">
      <x:c r="A14" s="61" t="str">
        <x:v>3</x:v>
      </x:c>
      <x:c r="B14" s="24" t="str">
        <x:v>工作忙就做“忙碌周版本”，不要补债</x:v>
      </x:c>
      <x:c r="C14" s="24" t="str"/>
      <x:c r="D14" s="24" t="str"/>
      <x:c r="E14" s="24" t="str"/>
      <x:c r="F14" s="24" t="str"/>
    </x:row>
    <x:row r="15">
      <x:c r="A15" s="24"/>
      <x:c r="B15" s="24"/>
      <x:c r="C15" s="24"/>
      <x:c r="D15" s="24"/>
      <x:c r="E15" s="24"/>
      <x:c r="F15" s="24"/>
    </x:row>
    <x:row r="16">
      <x:c r="A16" s="24"/>
      <x:c r="B16" s="24"/>
      <x:c r="C16" s="24"/>
      <x:c r="D16" s="24"/>
      <x:c r="E16" s="24"/>
      <x:c r="F16" s="24"/>
    </x:row>
    <x:row r="17">
      <x:c r="A17" s="62" t="str">
        <x:v>AI Coding 规则</x:v>
      </x:c>
      <x:c r="B17" s="62"/>
      <x:c r="C17" s="62"/>
      <x:c r="D17" s="62"/>
      <x:c r="E17" s="62"/>
      <x:c r="F17" s="62"/>
    </x:row>
    <x:row r="18" ht="34" customHeight="1">
      <x:c r="A18" s="24" t="str">
        <x:v>Concept Lab</x:v>
      </x:c>
      <x:c r="B18" s="24" t="str">
        <x:v>你写 70%</x:v>
      </x:c>
      <x:c r="C18" s="24" t="str">
        <x:v>第一次学 async / lock / transaction / retry 时自己动手</x:v>
      </x:c>
      <x:c r="D18" s="24" t="str"/>
      <x:c r="E18" s="24" t="str"/>
      <x:c r="F18" s="24" t="str"/>
    </x:row>
    <x:row r="19" ht="34" customHeight="1">
      <x:c r="A19" s="24" t="str">
        <x:v>ChatBI Project</x:v>
      </x:c>
      <x:c r="B19" s="24" t="str">
        <x:v>AI 可写 70%</x:v>
      </x:c>
      <x:c r="C19" s="24" t="str">
        <x:v>你负责架构、决策、Review</x:v>
      </x:c>
      <x:c r="D19" s="24" t="str"/>
      <x:c r="E19" s="24" t="str"/>
      <x:c r="F19" s="24" t="str"/>
    </x:row>
    <x:row r="20" ht="34" customHeight="1">
      <x:c r="A20" s="24" t="str">
        <x:v>完成 Gate</x:v>
      </x:c>
      <x:c r="B20" s="24" t="str">
        <x:v>能解释 80%</x:v>
      </x:c>
      <x:c r="C20" s="24" t="str">
        <x:v>解释不了 Why / Failure / Test，就不算完成</x:v>
      </x:c>
      <x:c r="D20" s="24" t="str"/>
      <x:c r="E20" s="24" t="str"/>
      <x:c r="F20" s="24" t="str"/>
    </x:row>
  </x:sheetData>
  <x:mergeCells>
    <x:mergeCell ref="A1:F2"/>
    <x:mergeCell ref="A11:F11"/>
    <x:mergeCell ref="B12:F12"/>
    <x:mergeCell ref="B13:F13"/>
    <x:mergeCell ref="B14:F14"/>
    <x:mergeCell ref="A17:F17"/>
    <x:mergeCell ref="C18:F18"/>
    <x:mergeCell ref="C19:F19"/>
    <x:mergeCell ref="C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4" hidden="0" customWidth="1"/>
    <x:col min="3" max="3" width="16" hidden="0" customWidth="1"/>
    <x:col min="4" max="4" width="38" hidden="0" customWidth="1"/>
    <x:col min="5" max="5" width="20" hidden="0" customWidth="1"/>
  </x:cols>
  <x:sheetData>
    <x:row r="1">
      <x:c r="A1" s="45" t="str">
        <x:v>课程只作为“地图”，不要按顺序刷完</x:v>
      </x:c>
      <x:c r="B1" s="45"/>
      <x:c r="C1" s="45"/>
      <x:c r="D1" s="45"/>
      <x:c r="E1" s="45"/>
    </x:row>
    <x:row r="2">
      <x:c r="A2" s="45"/>
      <x:c r="B2" s="45"/>
      <x:c r="C2" s="45"/>
      <x:c r="D2" s="45"/>
      <x:c r="E2" s="45"/>
    </x:row>
    <x:row r="4">
      <x:c r="A4" s="18" t="str">
        <x:v>用途</x:v>
      </x:c>
      <x:c r="B4" s="18" t="str">
        <x:v>课程</x:v>
      </x:c>
      <x:c r="C4" s="18" t="str">
        <x:v>什么时候看</x:v>
      </x:c>
      <x:c r="D4" s="18" t="str">
        <x:v>只看什么</x:v>
      </x:c>
      <x:c r="E4" s="18" t="str">
        <x:v>原则</x:v>
      </x:c>
    </x:row>
    <x:row r="5" ht="40" customHeight="1">
      <x:c r="A5" s="24" t="str">
        <x:v>Backend 主课</x:v>
      </x:c>
      <x:c r="B5" s="24" t="str">
        <x:v>Ultimate Guide to FastAPI and Backend Development</x:v>
      </x:c>
      <x:c r="C5" s="24" t="str">
        <x:v>Week 1-9</x:v>
      </x:c>
      <x:c r="D5" s="24" t="str">
        <x:v>当周 Backend 主题</x:v>
      </x:c>
      <x:c r="E5" s="24" t="str">
        <x:v>主修</x:v>
      </x:c>
    </x:row>
    <x:row r="6" ht="40" customHeight="1">
      <x:c r="A6" s="24" t="str">
        <x:v>Agent 主课</x:v>
      </x:c>
      <x:c r="B6" s="24" t="str">
        <x:v>LangChain &amp; LangGraph AI Engineer</x:v>
      </x:c>
      <x:c r="C6" s="24" t="str">
        <x:v>Week 1-12</x:v>
      </x:c>
      <x:c r="D6" s="24" t="str">
        <x:v>Agent Loop / Tool / State / MCP / Eval</x:v>
      </x:c>
      <x:c r="E6" s="24" t="str">
        <x:v>主修</x:v>
      </x:c>
    </x:row>
    <x:row r="7" ht="40" customHeight="1">
      <x:c r="A7" s="24" t="str">
        <x:v>DB 补充</x:v>
      </x:c>
      <x:c r="B7" s="24" t="str">
        <x:v>Fundamentals of Database Engineering</x:v>
      </x:c>
      <x:c r="C7" s="24" t="str">
        <x:v>Week 5</x:v>
      </x:c>
      <x:c r="D7" s="24" t="str">
        <x:v>Isolation / Lock / Pool</x:v>
      </x:c>
      <x:c r="E7" s="24" t="str">
        <x:v>只补对应章节</x:v>
      </x:c>
    </x:row>
    <x:row r="8" ht="40" customHeight="1">
      <x:c r="A8" s="24" t="str">
        <x:v>Async 补充</x:v>
      </x:c>
      <x:c r="B8" s="24" t="str">
        <x:v>Python AsyncIO Guide</x:v>
      </x:c>
      <x:c r="C8" s="24" t="str">
        <x:v>Week 3</x:v>
      </x:c>
      <x:c r="D8" s="24" t="str">
        <x:v>Task / Semaphore / Timeout</x:v>
      </x:c>
      <x:c r="E8" s="24" t="str">
        <x:v>主课不够再看</x:v>
      </x:c>
    </x:row>
    <x:row r="9" ht="40" customHeight="1">
      <x:c r="A9" s="24" t="str">
        <x:v>已有资料</x:v>
      </x:c>
      <x:c r="B9" s="24" t="str">
        <x:v>LangGraph / MCP / DeepAgents</x:v>
      </x:c>
      <x:c r="C9" s="24" t="str">
        <x:v>卡住时</x:v>
      </x:c>
      <x:c r="D9" s="24" t="str">
        <x:v>同一个难点换老师解释</x:v>
      </x:c>
      <x:c r="E9" s="24" t="str">
        <x:v>不整套重刷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W01 最小闭环｜4小时任务表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跑通最小 ChatBI：用户问题 → FastAPI → 结构化 Intent</x:v>
      </x:c>
      <x:c r="C3" s="91" t="str"/>
      <x:c r="D3" s="91" t="str"/>
      <x:c r="E3" s="91" t="str">
        <x:v>建议</x:v>
      </x:c>
      <x:c r="F3" s="116" t="n">
        <x:v>4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HTTP / Path&amp;Query / Pydantic 基础</x:v>
      </x:c>
      <x:c r="D8" s="84" t="str">
        <x:v>完成 Ch1/2/3/4/6 指定小节</x:v>
      </x:c>
      <x:c r="E8" s="106" t="n">
        <x:v>0.75</x:v>
      </x:c>
      <x:c r="F8" s="247" t="str">
        <x:f>IF(COUNTIFS($A$29:$A$36,"&lt;&gt;Agent",$A$29:$A$36,"&lt;&gt;Lab",$A$29:$A$36,"&lt;&gt;",$F$29:$F$36,"&lt;&gt;选学")=0,"☐",IF(COUNTIFS($A$29:$A$36,"&lt;&gt;Agent",$A$29:$A$36,"&lt;&gt;Lab",$A$29:$A$36,"&lt;&gt;",$F$29:$F$36,"&lt;&gt;选学",$G$29:$G$36,"✓")=COUNTIFS($A$29:$A$36,"&lt;&gt;Agent",$A$29:$A$36,"&lt;&gt;Lab",$A$29:$A$36,"&lt;&gt;",$F$29:$F$36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Agent Loop + Structured Output</x:v>
      </x:c>
      <x:c r="D9" s="84" t="str">
        <x:v>定义 Intent JSON schema</x:v>
      </x:c>
      <x:c r="E9" s="106" t="n">
        <x:v>0.5</x:v>
      </x:c>
      <x:c r="F9" s="247" t="str">
        <x:f>IF(COUNTIFS($A$29:$A$36,"Agent",$F$29:$F$36,"&lt;&gt;选学")=0,"☐",IF(COUNTIFS($A$29:$A$36,"Agent",$F$29:$F$36,"&lt;&gt;选学",$G$29:$G$36,"✓")=COUNTIFS($A$29:$A$36,"Agent",$F$29:$F$36,"&lt;&gt;选学"),"✓","☐"))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手写一个 /query 小接口</x:v>
      </x:c>
      <x:c r="D10" s="84" t="str">
        <x:v>合法/非法请求都能正确响应</x:v>
      </x:c>
      <x:c r="E10" s="106" t="n">
        <x:v>0.75</x:v>
      </x:c>
      <x:c r="F10" s="247" t="str">
        <x:f>IF(COUNTIF($A$29:$A$36,"Lab")=0,"☐",IF(COUNTIFS($A$29:$A$36,"Lab",$G$29:$G$36,"✓")=COUNTIF($A$29:$A$36,"Lab"),"✓","☐"))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实现 question → structured intent</x:v>
      </x:c>
      <x:c r="D11" s="84" t="str">
        <x:v>至少 5 个问题可返回结构化结果</x:v>
      </x:c>
      <x:c r="E11" s="106" t="n">
        <x:v>1.5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画 1 张请求链路图</x:v>
      </x:c>
      <x:c r="D12" s="84" t="str">
        <x:v>不用 AI 讲清整条请求链路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我能解释：一个请求进入 FastAPI 后发生了什么？Structured Output 为什么比自由文本更稳？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不接数据库、不做前端、不引入 LangGraph。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Ch1 Introduction</x:v>
      </x:c>
      <x:c r="D29" s="84" t="str">
        <x:v>What are REST APIs?；What is FastAPI?</x:v>
      </x:c>
      <x:c r="E29" s="84" t="str">
        <x:v>指定小节</x:v>
      </x:c>
      <x:c r="F29" s="84" t="str">
        <x:v>必学</x:v>
      </x:c>
      <x:c r="G29" s="84" t="str">
        <x:v>☐</x:v>
      </x:c>
    </x:row>
    <x:row r="30" ht="48" customHeight="1">
      <x:c r="A30" s="126" t="str">
        <x:v>Backend</x:v>
      </x:c>
      <x:c r="B30" s="84" t="str">
        <x:v>FastAPI 主课</x:v>
      </x:c>
      <x:c r="C30" s="84" t="str">
        <x:v>Ch2 Getting Started</x:v>
      </x:c>
      <x:c r="D30" s="84" t="str">
        <x:v>Installation &amp; Setup（环境已熟可快看）；API Endpoint；API Documentation</x:v>
      </x:c>
      <x:c r="E30" s="84" t="str">
        <x:v>指定小节</x:v>
      </x:c>
      <x:c r="F30" s="84" t="str">
        <x:v>必学</x:v>
      </x:c>
      <x:c r="G30" s="84" t="str">
        <x:v>☐</x:v>
      </x:c>
    </x:row>
    <x:row r="31" ht="48" customHeight="1">
      <x:c r="A31" s="84" t="str">
        <x:v>Backend</x:v>
      </x:c>
      <x:c r="B31" s="84" t="str">
        <x:v>FastAPI 主课</x:v>
      </x:c>
      <x:c r="C31" s="84" t="str">
        <x:v>Ch3 Path Parameter</x:v>
      </x:c>
      <x:c r="D31" s="84" t="str">
        <x:v>Type Hinting；Function Decorator（快看）；Path Parameter；Route Ordering</x:v>
      </x:c>
      <x:c r="E31" s="84" t="str">
        <x:v>指定小节</x:v>
      </x:c>
      <x:c r="F31" s="84" t="str">
        <x:v>快看但必须覆盖</x:v>
      </x:c>
      <x:c r="G31" s="84" t="str">
        <x:v>☐</x:v>
      </x:c>
    </x:row>
    <x:row r="32" ht="48" customHeight="1">
      <x:c r="A32" s="194" t="str">
        <x:v>Backend</x:v>
      </x:c>
      <x:c r="B32" s="194" t="str">
        <x:v>FastAPI 主课</x:v>
      </x:c>
      <x:c r="C32" s="194" t="str">
        <x:v>Ch4 Query Parameter</x:v>
      </x:c>
      <x:c r="D32" s="194" t="str">
        <x:v>Introduction；HTTP Exception；POST Method；Request Body；Path &amp; Query Parameters</x:v>
      </x:c>
      <x:c r="E32" s="194" t="str">
        <x:v>指定小节</x:v>
      </x:c>
      <x:c r="F32" s="194" t="str">
        <x:v>必学</x:v>
      </x:c>
      <x:c r="G32" s="194" t="str">
        <x:v>☐</x:v>
      </x:c>
    </x:row>
    <x:row r="33" ht="48" customHeight="1">
      <x:c r="A33" s="126" t="str">
        <x:v>Backend</x:v>
      </x:c>
      <x:c r="B33" s="84" t="str">
        <x:v>FastAPI 主课</x:v>
      </x:c>
      <x:c r="C33" s="84" t="str">
        <x:v>Ch6 Pydantic Model</x:v>
      </x:c>
      <x:c r="D33" s="84" t="str">
        <x:v>Why Use Pydantic?；Model Fields；Python Enum；Response Model；Different Models</x:v>
      </x:c>
      <x:c r="E33" s="84" t="str">
        <x:v>指定小节</x:v>
      </x:c>
      <x:c r="F33" s="84" t="str">
        <x:v>必学</x:v>
      </x:c>
      <x:c r="G33" s="84" t="str">
        <x:v>☐</x:v>
      </x:c>
    </x:row>
    <x:row r="34" ht="48" customHeight="1">
      <x:c r="A34" s="126" t="str">
        <x:v>Agent</x:v>
      </x:c>
      <x:c r="B34" s="84" t="str">
        <x:v>Agent 主课</x:v>
      </x:c>
      <x:c r="C34" s="84" t="str">
        <x:v>Introduction + Your First LangChain App</x:v>
      </x:c>
      <x:c r="D34" s="84" t="str">
        <x:v>Course Structure；What is LangChain?；Prompt Template / ChatModel / Chain 基础</x:v>
      </x:c>
      <x:c r="E34" s="84" t="str">
        <x:v>指定小节</x:v>
      </x:c>
      <x:c r="F34" s="84" t="str">
        <x:v>快看但必须覆盖</x:v>
      </x:c>
      <x:c r="G34" s="84" t="str">
        <x:v>☐</x:v>
      </x:c>
    </x:row>
    <x:row r="35" ht="48" customHeight="1">
      <x:c r="A35" s="84" t="str">
        <x:v>Agent</x:v>
      </x:c>
      <x:c r="B35" s="84" t="str">
        <x:v>Agent 主课</x:v>
      </x:c>
      <x:c r="C35" s="84" t="str">
        <x:v>Build a Search Agent with Tools</x:v>
      </x:c>
      <x:c r="D35" s="84" t="str">
        <x:v>What are AI Agents?；Evolution of ReAct Agents；Creating Your First Agent；From Query to Answer；Structured Output；Structured Output Theory</x:v>
      </x:c>
      <x:c r="E35" s="84" t="str">
        <x:v>指定小节</x:v>
      </x:c>
      <x:c r="F35" s="84" t="str">
        <x:v>必学</x:v>
      </x:c>
      <x:c r="G35" s="84" t="str">
        <x:v>☐</x:v>
      </x:c>
    </x:row>
    <x:row r="36" ht="62" customHeight="1">
      <x:c r="A36" s="84" t="str">
        <x:v>Lab</x:v>
      </x:c>
      <x:c r="B36" s="84" t="str">
        <x:v>配套 Teaching Notebook v5（Excel 任务 1:1 对照 + 答案）</x:v>
      </x:c>
      <x:c r="C36" s="84" t="str">
        <x:v>W01_HTTP_FastAPI_Pydantic_TEACHING_v5.ipynb</x:v>
      </x:c>
      <x:c r="D36" s="84" t="str">
        <x:v>Excel 5 个任务均在 Notebook 开头 1:1 对照；Task 3-5 有参考答案/参考实现；Task 1-2 用 Checkpoint/面试题验收。</x:v>
      </x:c>
      <x:c r="E36" s="84" t="str">
        <x:v>全部完成</x:v>
      </x:c>
      <x:c r="F36" s="84" t="str">
        <x:v>必做</x:v>
      </x:c>
      <x:c r="G36" s="84" t="str">
        <x:v>☐</x:v>
      </x:c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4" priority="2">
      <x:formula>$F8="✓"</x:formula>
    </x:cfRule>
  </x:conditionalFormatting>
  <x:conditionalFormatting sqref="A29:G36">
    <x:cfRule type="expression" dxfId="26" priority="3">
      <x:formula>$G29="✓"</x:formula>
    </x:cfRule>
  </x:conditionalFormatting>
  <x:conditionalFormatting sqref="F29:F36">
    <x:cfRule type="expression" dxfId="27" priority="4">
      <x:formula>$F29="必学"</x:formula>
    </x:cfRule>
    <x:cfRule type="expression" dxfId="28" priority="5">
      <x:formula>OR($F29="快看",$F29="快看但必须覆盖")</x:formula>
    </x:cfRule>
    <x:cfRule type="expression" dxfId="29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{0C033345-C5BB-845C-D898-A160ADA2FB3B}</x14:id>
        </x:ext>
      </x:extLst>
    </x:cfRule>
  </x:conditionalFormatting>
  <x:conditionalFormatting sqref="F8:F12">
    <x:cfRule type="expression" dxfId="74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6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0C033345-C5BB-845C-D898-A160ADA2FB3B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W02 分层与Tool｜4小时任务表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把代码分层，并让 Agent 真正调用工具</x:v>
      </x:c>
      <x:c r="C3" s="91" t="str"/>
      <x:c r="D3" s="91" t="str"/>
      <x:c r="E3" s="91" t="str">
        <x:v>建议</x:v>
      </x:c>
      <x:c r="F3" s="116" t="n">
        <x:v>4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CRUD / 分层 / Tool Calling</x:v>
      </x:c>
      <x:c r="D8" s="84" t="str">
        <x:v>完成 Ch5/6/10 + Agent Under the Hood 指定小节</x:v>
      </x:c>
      <x:c r="E8" s="106" t="n">
        <x:v>0.75</x:v>
      </x:c>
      <x:c r="F8" s="247" t="str">
        <x:f>IF(COUNTIFS($A$29:$A$35,"&lt;&gt;Agent",$A$29:$A$35,"&lt;&gt;Lab",$A$29:$A$35,"&lt;&gt;",$F$29:$F$35,"&lt;&gt;选学")=0,"☐",IF(COUNTIFS($A$29:$A$35,"&lt;&gt;Agent",$A$29:$A$35,"&lt;&gt;Lab",$A$29:$A$35,"&lt;&gt;",$F$29:$F$35,"&lt;&gt;选学",$G$29:$G$35,"✓")=COUNTIFS($A$29:$A$35,"&lt;&gt;Agent",$A$29:$A$35,"&lt;&gt;Lab",$A$29:$A$35,"&lt;&gt;",$F$29:$F$35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Tool Calling / Tool Schema</x:v>
      </x:c>
      <x:c r="D9" s="84" t="str">
        <x:v>能解释模型如何选择工具</x:v>
      </x:c>
      <x:c r="E9" s="106" t="n">
        <x:v>0.75</x:v>
      </x:c>
      <x:c r="F9" s="247" t="str">
        <x:f>IF(COUNTIFS($A$29:$A$35,"Agent",$F$29:$F$35,"&lt;&gt;选学")=0,"☐",IF(COUNTIFS($A$29:$A$35,"Agent",$F$29:$F$35,"&lt;&gt;选学",$G$29:$G$35,"✓")=COUNTIFS($A$29:$A$35,"Agent",$F$29:$F$35,"&lt;&gt;选学"),"✓","☐"))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把 Week1 endpoint 重构分层</x:v>
      </x:c>
      <x:c r="D10" s="84" t="str">
        <x:v>endpoint 不再塞业务逻辑</x:v>
      </x:c>
      <x:c r="E10" s="106" t="n">
        <x:v>0.75</x:v>
      </x:c>
      <x:c r="F10" s="247" t="str">
        <x:f>IF(COUNTIF($A$29:$A$35,"Lab")=0,"☐",IF(COUNTIFS($A$29:$A$35,"Lab",$G$29:$G$35,"✓")=COUNTIF($A$29:$A$35,"Lab"),"✓","☐"))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加入 2 个 mock 查询工具</x:v>
      </x:c>
      <x:c r="D11" s="84" t="str">
        <x:v>Agent 能选择并调用正确工具</x:v>
      </x:c>
      <x:c r="E11" s="106" t="n">
        <x:v>1.25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写 3 条分层原则</x:v>
      </x:c>
      <x:c r="D12" s="84" t="str">
        <x:v>能说明为什么这样拆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我能解释：为什么业务逻辑不应该都写在 endpoint？Tool Calling 和普通函数调用有什么区别？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不做真实 SQL、不做多 Agent。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Ch5 CRUD Operations</x:v>
      </x:c>
      <x:c r="D29" s="84" t="str">
        <x:v>PUT Method；PATCH Method；DELETE Method</x:v>
      </x:c>
      <x:c r="E29" s="84" t="str">
        <x:v>指定小节</x:v>
      </x:c>
      <x:c r="F29" s="84" t="str">
        <x:v>快看但必须覆盖</x:v>
      </x:c>
      <x:c r="G29" s="84" t="str">
        <x:v>☐</x:v>
      </x:c>
    </x:row>
    <x:row r="30" ht="48" customHeight="1">
      <x:c r="A30" s="126" t="str">
        <x:v>Backend</x:v>
      </x:c>
      <x:c r="B30" s="84" t="str">
        <x:v>FastAPI 主课</x:v>
      </x:c>
      <x:c r="C30" s="84" t="str">
        <x:v>Ch6 Pydantic Model</x:v>
      </x:c>
      <x:c r="D30" s="84" t="str">
        <x:v>Tips &amp; Tricks</x:v>
      </x:c>
      <x:c r="E30" s="84" t="str">
        <x:v>指定小节</x:v>
      </x:c>
      <x:c r="F30" s="84" t="str">
        <x:v>快看但必须覆盖</x:v>
      </x:c>
      <x:c r="G30" s="84" t="str">
        <x:v>☐</x:v>
      </x:c>
    </x:row>
    <x:row r="31" ht="48" customHeight="1">
      <x:c r="A31" s="84" t="str">
        <x:v>Backend</x:v>
      </x:c>
      <x:c r="B31" s="84" t="str">
        <x:v>FastAPI 主课</x:v>
      </x:c>
      <x:c r="C31" s="84" t="str">
        <x:v>Ch10 PostgreSQL</x:v>
      </x:c>
      <x:c r="D31" s="84" t="str">
        <x:v>API Router；Service Layer；Dependency Chaining；General Tips</x:v>
      </x:c>
      <x:c r="E31" s="84" t="str">
        <x:v>指定小节</x:v>
      </x:c>
      <x:c r="F31" s="84" t="str">
        <x:v>必学</x:v>
      </x:c>
      <x:c r="G31" s="84" t="str">
        <x:v>☐</x:v>
      </x:c>
    </x:row>
    <x:row r="32" ht="48" customHeight="1">
      <x:c r="A32" s="194" t="str">
        <x:v>Backend</x:v>
      </x:c>
      <x:c r="B32" s="194" t="str">
        <x:v>FastAPI 主课</x:v>
      </x:c>
      <x:c r="C32" s="194" t="str">
        <x:v>pytest / API Testing</x:v>
      </x:c>
      <x:c r="D32" s="194" t="str">
        <x:v>pytest 基本结构；assert；fixture 基础；FastAPI TestClient 基础</x:v>
      </x:c>
      <x:c r="E32" s="194" t="str">
        <x:v>指定小节</x:v>
      </x:c>
      <x:c r="F32" s="194" t="str">
        <x:v>快看但必须覆盖</x:v>
      </x:c>
      <x:c r="G32" s="194" t="str">
        <x:v>☐</x:v>
      </x:c>
    </x:row>
    <x:row r="33" ht="48" customHeight="1">
      <x:c r="A33" s="126" t="str">
        <x:v>Agent</x:v>
      </x:c>
      <x:c r="B33" s="84" t="str">
        <x:v>Agent 主课</x:v>
      </x:c>
      <x:c r="C33" s="84" t="str">
        <x:v>Build a Search Agent with Tools</x:v>
      </x:c>
      <x:c r="D33" s="84" t="str">
        <x:v>Tools / Tool schema；Tool execution；Tool result / ToolMessage；多次工具调用相关示例</x:v>
      </x:c>
      <x:c r="E33" s="84" t="str">
        <x:v>指定小节</x:v>
      </x:c>
      <x:c r="F33" s="84" t="str">
        <x:v>必学</x:v>
      </x:c>
      <x:c r="G33" s="84" t="str">
        <x:v>☐</x:v>
      </x:c>
    </x:row>
    <x:row r="34" ht="48" customHeight="1">
      <x:c r="A34" s="126" t="str">
        <x:v>Agent</x:v>
      </x:c>
      <x:c r="B34" s="84" t="str">
        <x:v>Agent 主课</x:v>
      </x:c>
      <x:c r="C34" s="84" t="str">
        <x:v>Agents Under the Hood — Layer 1</x:v>
      </x:c>
      <x:c r="D34" s="84" t="str">
        <x:v>Core Architecture；Gist of ReAct；Writing Tools；Tool Binding and Defensive Prompting；ReAct Agent Loop</x:v>
      </x:c>
      <x:c r="E34" s="84" t="str">
        <x:v>指定小节</x:v>
      </x:c>
      <x:c r="F34" s="84" t="str">
        <x:v>必学</x:v>
      </x:c>
      <x:c r="G34" s="84" t="str">
        <x:v>☐</x:v>
      </x:c>
    </x:row>
    <x:row r="35" ht="62" customHeight="1">
      <x:c r="A35" s="84" t="str">
        <x:v>Lab</x:v>
      </x:c>
      <x:c r="B35" s="84" t="str">
        <x:v>配套 Teaching Notebook v5（Excel 任务 1:1 对照 + 答案）</x:v>
      </x:c>
      <x:c r="C35" s="84" t="str">
        <x:v>W02_Architecture_ToolCalling_TEACHING_v5.ipynb</x:v>
      </x:c>
      <x:c r="D35" s="84" t="str">
        <x:v>Excel 5 个任务均在 Notebook 开头 1:1 对照；Task 3-5 有参考答案/参考实现；Task 1-2 用 Checkpoint/面试题验收。</x:v>
      </x:c>
      <x:c r="E35" s="84" t="str">
        <x:v>全部完成</x:v>
      </x:c>
      <x:c r="F35" s="84" t="str">
        <x:v>必做</x:v>
      </x:c>
      <x:c r="G35" s="84" t="str">
        <x:v>☐</x:v>
      </x:c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5" priority="2">
      <x:formula>$F8="✓"</x:formula>
    </x:cfRule>
  </x:conditionalFormatting>
  <x:conditionalFormatting sqref="A29:G35">
    <x:cfRule type="expression" dxfId="30" priority="3">
      <x:formula>$G29="✓"</x:formula>
    </x:cfRule>
  </x:conditionalFormatting>
  <x:conditionalFormatting sqref="F29:F35">
    <x:cfRule type="expression" dxfId="31" priority="4">
      <x:formula>$F29="必学"</x:formula>
    </x:cfRule>
    <x:cfRule type="expression" dxfId="32" priority="5">
      <x:formula>OR($F29="快看",$F29="快看但必须覆盖")</x:formula>
    </x:cfRule>
    <x:cfRule type="expression" dxfId="33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{94718F15-91C2-C16C-FF1B-CE4670E1DB5E}</x14:id>
        </x:ext>
      </x:extLst>
    </x:cfRule>
  </x:conditionalFormatting>
  <x:conditionalFormatting sqref="F8:F12">
    <x:cfRule type="expression" dxfId="75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5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94718F15-91C2-C16C-FF1B-CE4670E1DB5E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W03 异步并发｜4小时任务表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真正理解 AsyncIO，并在 ChatBI 里看到性能差异</x:v>
      </x:c>
      <x:c r="C3" s="91" t="str"/>
      <x:c r="D3" s="91" t="str"/>
      <x:c r="E3" s="91" t="str">
        <x:v>建议</x:v>
      </x:c>
      <x:c r="F3" s="116" t="n">
        <x:v>5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AsyncIO / 并发控制</x:v>
      </x:c>
      <x:c r="D8" s="84" t="str">
        <x:v>FastAPI Ch9 + AsyncIO补充课指定小节</x:v>
      </x:c>
      <x:c r="E8" s="106" t="n">
        <x:v>1</x:v>
      </x:c>
      <x:c r="F8" s="247" t="str">
        <x:f>IF(COUNTIFS($A$29:$A$33,"&lt;&gt;Agent",$A$29:$A$33,"&lt;&gt;Lab",$A$29:$A$33,"&lt;&gt;",$F$29:$F$33,"&lt;&gt;选学")=0,"☐",IF(COUNTIFS($A$29:$A$33,"&lt;&gt;Agent",$A$29:$A$33,"&lt;&gt;Lab",$A$29:$A$33,"&lt;&gt;",$F$29:$F$33,"&lt;&gt;选学",$G$29:$G$33,"✓")=COUNTIFS($A$29:$A$33,"&lt;&gt;Agent",$A$29:$A$33,"&lt;&gt;Lab",$A$29:$A$33,"&lt;&gt;",$F$29:$F$33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学并行 Tool 的适用边界</x:v>
      </x:c>
      <x:c r="D9" s="84" t="str">
        <x:v>能判断哪些步骤可并行</x:v>
      </x:c>
      <x:c r="E9" s="106" t="n">
        <x:v>0.5</x:v>
      </x:c>
      <x:c r="F9" s="247" t="str">
        <x:f>IF(COUNTIFS($A$29:$A$33,"Agent",$F$29:$F$33,"&lt;&gt;选学")=0,"☐",IF(COUNTIFS($A$29:$A$33,"Agent",$F$29:$F$33,"&lt;&gt;选学",$G$29:$G$33,"✓")=COUNTIFS($A$29:$A$33,"Agent",$F$29:$F$33,"&lt;&gt;选学"),"✓","☐"))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做 Sync vs Async 对比实验</x:v>
      </x:c>
      <x:c r="D10" s="84" t="str">
        <x:v>记录 1/5/20 并发耗时</x:v>
      </x:c>
      <x:c r="E10" s="106" t="n">
        <x:v>0.75</x:v>
      </x:c>
      <x:c r="F10" s="247" t="str">
        <x:f>IF(COUNTIF($A$29:$A$33,"Lab")=0,"☐",IF(COUNTIFS($A$29:$A$33,"Lab",$G$29:$G$33,"✓")=COUNTIF($A$29:$A$33,"Lab"),"✓","☐"))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并行执行 metadata + mock external call</x:v>
      </x:c>
      <x:c r="D11" s="84" t="str">
        <x:v>项目中至少 1 处真实 async</x:v>
      </x:c>
      <x:c r="E11" s="106" t="n">
        <x:v>1.25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整理 Async / Thread / Process 对比</x:v>
      </x:c>
      <x:c r="D12" s="84" t="str">
        <x:v>能按 IO/CPU 场景选型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我能解释：IO-bound / CPU-bound；async、thread、process 分别什么时候用。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不深挖 Python runtime，不做复杂性能优化。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Ch9 AsyncIO</x:v>
      </x:c>
      <x:c r="D29" s="84" t="str">
        <x:v>Synchronous Programming；Async &amp; Await；Task；Task Group</x:v>
      </x:c>
      <x:c r="E29" s="84" t="str">
        <x:v>全章</x:v>
      </x:c>
      <x:c r="F29" s="84" t="str">
        <x:v>必学</x:v>
      </x:c>
      <x:c r="G29" s="84" t="str">
        <x:v>☐</x:v>
      </x:c>
    </x:row>
    <x:row r="30" ht="48" customHeight="1">
      <x:c r="A30" s="126" t="str">
        <x:v>Backend</x:v>
      </x:c>
      <x:c r="B30" s="84" t="str">
        <x:v>AsyncIO 补充课</x:v>
      </x:c>
      <x:c r="C30" s="84" t="str">
        <x:v>Async control</x:v>
      </x:c>
      <x:c r="D30" s="84" t="str">
        <x:v>Semaphore；Timeout；Cancellation；to_thread</x:v>
      </x:c>
      <x:c r="E30" s="84" t="str">
        <x:v>指定小节</x:v>
      </x:c>
      <x:c r="F30" s="84" t="str">
        <x:v>必学</x:v>
      </x:c>
      <x:c r="G30" s="84" t="str">
        <x:v>☐</x:v>
      </x:c>
    </x:row>
    <x:row r="31" ht="48" customHeight="1">
      <x:c r="A31" s="84" t="str">
        <x:v>Agent</x:v>
      </x:c>
      <x:c r="B31" s="84" t="str">
        <x:v>Agent 主课</x:v>
      </x:c>
      <x:c r="C31" s="84" t="str">
        <x:v>Agents Under the Hood — Layer 1/2 + Wrap-up</x:v>
      </x:c>
      <x:c r="D31" s="84" t="str">
        <x:v>Understanding ReAct Agent Loop；Manual JSON Schemas vs Tool Abstraction；Raw Function Calling；Understanding Function Calling for LLMs</x:v>
      </x:c>
      <x:c r="E31" s="84" t="str">
        <x:v>指定小节</x:v>
      </x:c>
      <x:c r="F31" s="84" t="str">
        <x:v>必学</x:v>
      </x:c>
      <x:c r="G31" s="84" t="str">
        <x:v>☐</x:v>
      </x:c>
    </x:row>
    <x:row r="32" ht="48" customHeight="1">
      <x:c r="A32" s="194" t="str">
        <x:v>Agent</x:v>
      </x:c>
      <x:c r="B32" s="194" t="str">
        <x:v>LangGraph 补充课</x:v>
      </x:c>
      <x:c r="C32" s="194" t="str">
        <x:v>Run graph asynchronously</x:v>
      </x:c>
      <x:c r="D32" s="194" t="str">
        <x:v>Async Execution；Parallel fan-out/fan-in；Conditional Branching；Async Nodes Benefits vs Challenges</x:v>
      </x:c>
      <x:c r="E32" s="194" t="str">
        <x:v>指定小节</x:v>
      </x:c>
      <x:c r="F32" s="194" t="str">
        <x:v>选学</x:v>
      </x:c>
      <x:c r="G32" s="194" t="str">
        <x:v>☐</x:v>
      </x:c>
    </x:row>
    <x:row r="33" ht="62" customHeight="1">
      <x:c r="A33" s="126" t="str">
        <x:v>Lab</x:v>
      </x:c>
      <x:c r="B33" s="84" t="str">
        <x:v>配套 Teaching Notebook v5（Excel 任务 1:1 对照 + 答案）</x:v>
      </x:c>
      <x:c r="C33" s="84" t="str">
        <x:v>W03_AsyncIO_Concurrency_TEACHING_v5.ipynb</x:v>
      </x:c>
      <x:c r="D33" s="84" t="str">
        <x:v>Excel 5 个任务均在 Notebook 开头 1:1 对照；Task 3-5 有参考答案/参考实现；Task 1-2 用 Checkpoint/面试题验收。</x:v>
      </x:c>
      <x:c r="E33" s="84" t="str">
        <x:v>全部完成</x:v>
      </x:c>
      <x:c r="F33" s="84" t="str">
        <x:v>必做</x:v>
      </x:c>
      <x:c r="G33" s="84" t="str">
        <x:v>☐</x:v>
      </x:c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6" priority="2">
      <x:formula>$F8="✓"</x:formula>
    </x:cfRule>
  </x:conditionalFormatting>
  <x:conditionalFormatting sqref="A29:G33">
    <x:cfRule type="expression" dxfId="34" priority="3">
      <x:formula>$G29="✓"</x:formula>
    </x:cfRule>
  </x:conditionalFormatting>
  <x:conditionalFormatting sqref="F29:F33">
    <x:cfRule type="expression" dxfId="35" priority="4">
      <x:formula>$F29="必学"</x:formula>
    </x:cfRule>
    <x:cfRule type="expression" dxfId="36" priority="5">
      <x:formula>OR($F29="快看",$F29="快看但必须覆盖")</x:formula>
    </x:cfRule>
    <x:cfRule type="expression" dxfId="37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{6505E901-F313-694E-7A10-3C4BDF5C6DF9}</x14:id>
        </x:ext>
      </x:extLst>
    </x:cfRule>
  </x:conditionalFormatting>
  <x:conditionalFormatting sqref="F8:F12">
    <x:cfRule type="expression" dxfId="76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3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6505E901-F313-694E-7A10-3C4BDF5C6DF9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W04 状态与DB｜4小时任务表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让 ChatBI 有持久化状态，并自己设计第一版 Schema</x:v>
      </x:c>
      <x:c r="C3" s="91" t="str"/>
      <x:c r="D3" s="91" t="str"/>
      <x:c r="E3" s="91" t="str">
        <x:v>建议</x:v>
      </x:c>
      <x:c r="F3" s="116" t="n">
        <x:v>5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SQL/SQLModel/PostgreSQL/LangGraph Core</x:v>
      </x:c>
      <x:c r="D8" s="84" t="str">
        <x:v>完成 Ch7/8/10 + Alembic/1:N + LangGraph Core</x:v>
      </x:c>
      <x:c r="E8" s="106" t="n">
        <x:v>1</x:v>
      </x:c>
      <x:c r="F8" s="247" t="str">
        <x:f>IF(COUNTIFS($A$29:$A$34,"&lt;&gt;Agent",$A$29:$A$34,"&lt;&gt;Lab",$A$29:$A$34,"&lt;&gt;",$F$29:$F$34,"&lt;&gt;选学")=0,"☐",IF(COUNTIFS($A$29:$A$34,"&lt;&gt;Agent",$A$29:$A$34,"&lt;&gt;Lab",$A$29:$A$34,"&lt;&gt;",$F$29:$F$34,"&lt;&gt;选学",$G$29:$G$34,"✓")=COUNTIFS($A$29:$A$34,"&lt;&gt;Agent",$A$29:$A$34,"&lt;&gt;Lab",$A$29:$A$34,"&lt;&gt;",$F$29:$F$34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Agent State vs Business State</x:v>
      </x:c>
      <x:c r="D9" s="84" t="str">
        <x:v>知道哪些状态要持久化</x:v>
      </x:c>
      <x:c r="E9" s="106" t="n">
        <x:v>0.5</x:v>
      </x:c>
      <x:c r="F9" s="247" t="str">
        <x:f>IF(COUNTIFS($A$29:$A$34,"Agent",$F$29:$F$34,"&lt;&gt;选学")=0,"☐",IF(COUNTIFS($A$29:$A$34,"Agent",$F$29:$F$34,"&lt;&gt;选学",$G$29:$G$34,"✓")=COUNTIFS($A$29:$A$34,"Agent",$F$29:$F$34,"&lt;&gt;选学"),"✓","☐"))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自己先画 conversation/message/job ER 图</x:v>
      </x:c>
      <x:c r="D10" s="84" t="str">
        <x:v>再让 AI review，不让 AI 代画</x:v>
      </x:c>
      <x:c r="E10" s="106" t="n">
        <x:v>0.75</x:v>
      </x:c>
      <x:c r="F10" s="247" t="str">
        <x:f>IF(COUNTIF($A$29:$A$34,"Lab")=0,"☐",IF(COUNTIFS($A$29:$A$34,"Lab",$G$29:$G$34,"✓")=COUNTIF($A$29:$A$34,"Lab"),"✓","☐"))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保存会话、消息和 query job</x:v>
      </x:c>
      <x:c r="D11" s="84" t="str">
        <x:v>重启服务后仍能读取历史</x:v>
      </x:c>
      <x:c r="E11" s="106" t="n">
        <x:v>1.25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记录 3 个 Schema 决策</x:v>
      </x:c>
      <x:c r="D12" s="84" t="str">
        <x:v>能解释为什么这样拆表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我能解释：Agent state、business state、conversation history 有什么区别？为什么要 migration？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不追求完美 Schema，不加十几张表。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Ch7 SQL Database</x:v>
      </x:c>
      <x:c r="D29" s="84" t="str">
        <x:v>What is SQL?；SQLite Database；Insert/Fetch；Primary Key；Update；SQL Query Parameters；API Usage</x:v>
      </x:c>
      <x:c r="E29" s="84" t="str">
        <x:v>指定小节</x:v>
      </x:c>
      <x:c r="F29" s="84" t="str">
        <x:v>必学</x:v>
      </x:c>
      <x:c r="G29" s="84" t="str">
        <x:v>☐</x:v>
      </x:c>
    </x:row>
    <x:row r="30" ht="48" customHeight="1">
      <x:c r="A30" s="126" t="str">
        <x:v>Backend</x:v>
      </x:c>
      <x:c r="B30" s="84" t="str">
        <x:v>FastAPI 主课</x:v>
      </x:c>
      <x:c r="C30" s="84" t="str">
        <x:v>Ch8 SQLModel</x:v>
      </x:c>
      <x:c r="D30" s="84" t="str">
        <x:v>Overview；Context Manager；SQLModel；Database Engine；Server Lifespan；Dependency Injection；Session Dependency；Database Model vs API Schema</x:v>
      </x:c>
      <x:c r="E30" s="84" t="str">
        <x:v>指定小节</x:v>
      </x:c>
      <x:c r="F30" s="84" t="str">
        <x:v>必学</x:v>
      </x:c>
      <x:c r="G30" s="84" t="str">
        <x:v>☐</x:v>
      </x:c>
    </x:row>
    <x:row r="31" ht="48" customHeight="1">
      <x:c r="A31" s="84" t="str">
        <x:v>Backend</x:v>
      </x:c>
      <x:c r="B31" s="84" t="str">
        <x:v>FastAPI 主课</x:v>
      </x:c>
      <x:c r="C31" s="84" t="str">
        <x:v>Ch10 PostgreSQL</x:v>
      </x:c>
      <x:c r="D31" s="84" t="str">
        <x:v>Overview；Environment Variable；Async Session；API Router；Service Layer；Dependency Chaining；General Tips</x:v>
      </x:c>
      <x:c r="E31" s="84" t="str">
        <x:v>指定小节</x:v>
      </x:c>
      <x:c r="F31" s="84" t="str">
        <x:v>必学</x:v>
      </x:c>
      <x:c r="G31" s="84" t="str">
        <x:v>☐</x:v>
      </x:c>
    </x:row>
    <x:row r="32" ht="48" customHeight="1">
      <x:c r="A32" s="194" t="str">
        <x:v>Backend</x:v>
      </x:c>
      <x:c r="B32" s="194" t="str">
        <x:v>FastAPI 主课</x:v>
      </x:c>
      <x:c r="C32" s="194" t="str">
        <x:v>Alembic + Relationships</x:v>
      </x:c>
      <x:c r="D32" s="194" t="str">
        <x:v>Alembic migration 基础；One-to-Many；Many-to-Many（快看）</x:v>
      </x:c>
      <x:c r="E32" s="194" t="str">
        <x:v>指定小节</x:v>
      </x:c>
      <x:c r="F32" s="194" t="str">
        <x:v>必学</x:v>
      </x:c>
      <x:c r="G32" s="194" t="str">
        <x:v>☐</x:v>
      </x:c>
    </x:row>
    <x:row r="33" ht="48" customHeight="1">
      <x:c r="A33" s="126" t="str">
        <x:v>Agent</x:v>
      </x:c>
      <x:c r="B33" s="84" t="str">
        <x:v>LangGraph 补充课</x:v>
      </x:c>
      <x:c r="C33" s="84" t="str">
        <x:v>Introduction / Core Components</x:v>
      </x:c>
      <x:c r="D33" s="84" t="str">
        <x:v>State；Node；Edge；Conditional Edge / Routing</x:v>
      </x:c>
      <x:c r="E33" s="84" t="str">
        <x:v>指定小节</x:v>
      </x:c>
      <x:c r="F33" s="84" t="str">
        <x:v>必学</x:v>
      </x:c>
      <x:c r="G33" s="84" t="str">
        <x:v>☐</x:v>
      </x:c>
    </x:row>
    <x:row r="34" ht="62" customHeight="1">
      <x:c r="A34" s="126" t="str">
        <x:v>Lab</x:v>
      </x:c>
      <x:c r="B34" s="84" t="str">
        <x:v>配套 Teaching Notebook v5（Excel 任务 1:1 对照 + 答案）</x:v>
      </x:c>
      <x:c r="C34" s="84" t="str">
        <x:v>W04_DB_State_Schema_TEACHING_v5.ipynb</x:v>
      </x:c>
      <x:c r="D34" s="84" t="str">
        <x:v>Excel 5 个任务均在 Notebook 开头 1:1 对照；Task 3-5 有参考答案/参考实现；Task 1-2 用 Checkpoint/面试题验收。</x:v>
      </x:c>
      <x:c r="E34" s="84" t="str">
        <x:v>全部完成</x:v>
      </x:c>
      <x:c r="F34" s="84" t="str">
        <x:v>必做</x:v>
      </x:c>
      <x:c r="G34" s="84" t="str">
        <x:v>☐</x:v>
      </x:c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7" priority="2">
      <x:formula>$F8="✓"</x:formula>
    </x:cfRule>
  </x:conditionalFormatting>
  <x:conditionalFormatting sqref="A29:G34">
    <x:cfRule type="expression" dxfId="38" priority="3">
      <x:formula>$G29="✓"</x:formula>
    </x:cfRule>
  </x:conditionalFormatting>
  <x:conditionalFormatting sqref="F29:F34">
    <x:cfRule type="expression" dxfId="39" priority="4">
      <x:formula>$F29="必学"</x:formula>
    </x:cfRule>
    <x:cfRule type="expression" dxfId="40" priority="5">
      <x:formula>OR($F29="快看",$F29="快看但必须覆盖")</x:formula>
    </x:cfRule>
    <x:cfRule type="expression" dxfId="41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{FEDF58B9-9694-6B84-F766-063969C665C3}</x14:id>
        </x:ext>
      </x:extLst>
    </x:cfRule>
  </x:conditionalFormatting>
  <x:conditionalFormatting sqref="F8:F12">
    <x:cfRule type="expression" dxfId="77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4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FEDF58B9-9694-6B84-F766-063969C665C3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W05 事务与恢复｜4小时任务表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理解数据库并发问题，并让 Job 状态可安全更新/恢复</x:v>
      </x:c>
      <x:c r="C3" s="91" t="str"/>
      <x:c r="D3" s="91" t="str"/>
      <x:c r="E3" s="91" t="str">
        <x:v>建议</x:v>
      </x:c>
      <x:c r="F3" s="116" t="n">
        <x:v>6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Isolation/Lock/Pool/Persistence</x:v>
      </x:c>
      <x:c r="D8" s="84" t="str">
        <x:v>DB Engineering + LangGraph Persistence</x:v>
      </x:c>
      <x:c r="E8" s="106" t="n">
        <x:v>0.75</x:v>
      </x:c>
      <x:c r="F8" s="247" t="str">
        <x:f>IF(COUNTIFS($A$29:$A$33,"&lt;&gt;Agent",$A$29:$A$33,"&lt;&gt;Lab",$A$29:$A$33,"&lt;&gt;",$F$29:$F$33,"&lt;&gt;选学")=0,"☐",IF(COUNTIFS($A$29:$A$33,"&lt;&gt;Agent",$A$29:$A$33,"&lt;&gt;Lab",$A$29:$A$33,"&lt;&gt;",$F$29:$F$33,"&lt;&gt;选学",$G$29:$G$33,"✓")=COUNTIFS($A$29:$A$33,"&lt;&gt;Agent",$A$29:$A$33,"&lt;&gt;Lab",$A$29:$A$33,"&lt;&gt;",$F$29:$F$33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Checkpoint / Resume</x:v>
      </x:c>
      <x:c r="D9" s="84" t="str">
        <x:v>知道 checkpoint 不等于 DB transaction</x:v>
      </x:c>
      <x:c r="E9" s="106" t="n">
        <x:v>0.5</x:v>
      </x:c>
      <x:c r="F9" s="247" t="str">
        <x:f>IF(COUNTIFS($A$29:$A$33,"Agent",$F$29:$F$33,"&lt;&gt;选学")=0,"☐",IF(COUNTIFS($A$29:$A$33,"Agent",$F$29:$F$33,"&lt;&gt;选学",$G$29:$G$33,"✓")=COUNTIFS($A$29:$A$33,"Agent",$F$29:$F$33,"&lt;&gt;选学"),"✓","☐"))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模拟 2 个并发请求更新同一 Job</x:v>
      </x:c>
      <x:c r="D10" s="84" t="str">
        <x:v>比较无保护 vs optimistic lock</x:v>
      </x:c>
      <x:c r="E10" s="106" t="n">
        <x:v>1</x:v>
      </x:c>
      <x:c r="F10" s="247" t="str">
        <x:f>IF(COUNTIF($A$29:$A$33,"Lab")=0,"☐",IF(COUNTIFS($A$29:$A$33,"Lab",$G$29:$G$33,"✓")=COUNTIF($A$29:$A$33,"Lab"),"✓","☐"))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给 query_job 加 status + version</x:v>
      </x:c>
      <x:c r="D11" s="84" t="str">
        <x:v>并发更新不会静默覆盖</x:v>
      </x:c>
      <x:c r="E11" s="106" t="n">
        <x:v>1.25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回答 2 个生产问题</x:v>
      </x:c>
      <x:c r="D12" s="84" t="str">
        <x:v>500 请求≠500 DB连接；worker并发更新怎么办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我能解释：Lost Update、Optimistic Lock、Connection Pool；Checkpoint 和业务事务的区别。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B+Tree/ACID 基础已会就跳过，不重学整门 DB 课。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Database Engineering</x:v>
      </x:c>
      <x:c r="C29" s="84" t="str">
        <x:v>ACID / Isolation</x:v>
      </x:c>
      <x:c r="D29" s="84" t="str">
        <x:v>Isolation；Dirty Read；Non-repeatable Read；Phantom Read；Lost Update；Repeatable Read vs Serializable</x:v>
      </x:c>
      <x:c r="E29" s="84" t="str">
        <x:v>指定小节</x:v>
      </x:c>
      <x:c r="F29" s="84" t="str">
        <x:v>必学</x:v>
      </x:c>
      <x:c r="G29" s="84" t="str">
        <x:v>☐</x:v>
      </x:c>
    </x:row>
    <x:row r="30" ht="48" customHeight="1">
      <x:c r="A30" s="126" t="str">
        <x:v>Backend</x:v>
      </x:c>
      <x:c r="B30" s="84" t="str">
        <x:v>Database Engineering</x:v>
      </x:c>
      <x:c r="C30" s="84" t="str">
        <x:v>Database Indexing / Query Planner</x:v>
      </x:c>
      <x:c r="D30" s="84" t="str">
        <x:v>EXPLAIN；EXPLAIN ANALYZE；Composite Index；Planner 为什么可能不用 Index</x:v>
      </x:c>
      <x:c r="E30" s="84" t="str">
        <x:v>指定小节</x:v>
      </x:c>
      <x:c r="F30" s="84" t="str">
        <x:v>必学</x:v>
      </x:c>
      <x:c r="G30" s="84" t="str">
        <x:v>☐</x:v>
      </x:c>
    </x:row>
    <x:row r="31" ht="48" customHeight="1">
      <x:c r="A31" s="84" t="str">
        <x:v>Backend</x:v>
      </x:c>
      <x:c r="B31" s="84" t="str">
        <x:v>Database Engineering</x:v>
      </x:c>
      <x:c r="C31" s="84" t="str">
        <x:v>Concurrency Control</x:v>
      </x:c>
      <x:c r="D31" s="84" t="str">
        <x:v>Shared/Exclusive Lock；Deadlock；Double Booking；Row Lock；Connection Pooling</x:v>
      </x:c>
      <x:c r="E31" s="84" t="str">
        <x:v>核心段全看</x:v>
      </x:c>
      <x:c r="F31" s="84" t="str">
        <x:v>必学</x:v>
      </x:c>
      <x:c r="G31" s="84" t="str">
        <x:v>☐</x:v>
      </x:c>
    </x:row>
    <x:row r="32" ht="48" customHeight="1">
      <x:c r="A32" s="194" t="str">
        <x:v>Agent</x:v>
      </x:c>
      <x:c r="B32" s="194" t="str">
        <x:v>LangGraph 补充课</x:v>
      </x:c>
      <x:c r="C32" s="194" t="str">
        <x:v>Persistence</x:v>
      </x:c>
      <x:c r="D32" s="194" t="str">
        <x:v>Persistence；MemorySaver；Interrupts；SqliteSaver / durable checkpoint 基础</x:v>
      </x:c>
      <x:c r="E32" s="194" t="str">
        <x:v>指定小节</x:v>
      </x:c>
      <x:c r="F32" s="194" t="str">
        <x:v>必学</x:v>
      </x:c>
      <x:c r="G32" s="194" t="str">
        <x:v>☐</x:v>
      </x:c>
    </x:row>
    <x:row r="33" ht="62" customHeight="1">
      <x:c r="A33" s="126" t="str">
        <x:v>Lab</x:v>
      </x:c>
      <x:c r="B33" s="84" t="str">
        <x:v>配套 Teaching Notebook v5（Excel 任务 1:1 对照 + 答案）</x:v>
      </x:c>
      <x:c r="C33" s="84" t="str">
        <x:v>W05_Transaction_Lock_Pool_TEACHING_v5.ipynb</x:v>
      </x:c>
      <x:c r="D33" s="84" t="str">
        <x:v>Excel 5 个任务均在 Notebook 开头 1:1 对照；Task 3-5 有参考答案/参考实现；Task 1-2 用 Checkpoint/面试题验收。</x:v>
      </x:c>
      <x:c r="E33" s="84" t="str">
        <x:v>全部完成</x:v>
      </x:c>
      <x:c r="F33" s="84" t="str">
        <x:v>必做</x:v>
      </x:c>
      <x:c r="G33" s="84" t="str">
        <x:v>☐</x:v>
      </x:c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8" priority="2">
      <x:formula>$F8="✓"</x:formula>
    </x:cfRule>
  </x:conditionalFormatting>
  <x:conditionalFormatting sqref="A29:G33">
    <x:cfRule type="expression" dxfId="42" priority="3">
      <x:formula>$G29="✓"</x:formula>
    </x:cfRule>
  </x:conditionalFormatting>
  <x:conditionalFormatting sqref="F29:F33">
    <x:cfRule type="expression" dxfId="43" priority="4">
      <x:formula>$F29="必学"</x:formula>
    </x:cfRule>
    <x:cfRule type="expression" dxfId="44" priority="5">
      <x:formula>OR($F29="快看",$F29="快看但必须覆盖")</x:formula>
    </x:cfRule>
    <x:cfRule type="expression" dxfId="45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{48730F26-2D67-CEE2-3EED-C60D4FD8AA6A}</x14:id>
        </x:ext>
      </x:extLst>
    </x:cfRule>
  </x:conditionalFormatting>
  <x:conditionalFormatting sqref="F8:F12">
    <x:cfRule type="expression" dxfId="78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3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48730F26-2D67-CEE2-3EED-C60D4FD8AA6A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W06 自然语言问数｜4小时任务表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第一次实现真正的自然语言 → SQL → 结果表格</x:v>
      </x:c>
      <x:c r="C3" s="91" t="str"/>
      <x:c r="D3" s="91" t="str"/>
      <x:c r="E3" s="91" t="str">
        <x:v>建议</x:v>
      </x:c>
      <x:c r="F3" s="116" t="n">
        <x:v>6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复习下方映射前置后进入 NL2SQL Guardrails</x:v>
      </x:c>
      <x:c r="D8" s="84" t="str">
        <x:v>不新增泛学课程，围绕安全问数闭环</x:v>
      </x:c>
      <x:c r="E8" s="106" t="n">
        <x:v>0.75</x:v>
      </x:c>
      <x:c r="F8" s="247" t="str">
        <x:f>IF(COUNTIFS($A$29:$A$32,"&lt;&gt;Agent",$A$29:$A$32,"&lt;&gt;Lab",$A$29:$A$32,"&lt;&gt;",$F$29:$F$32,"&lt;&gt;选学")=0,"☐",IF(COUNTIFS($A$29:$A$32,"&lt;&gt;Agent",$A$29:$A$32,"&lt;&gt;Lab",$A$29:$A$32,"&lt;&gt;",$F$29:$F$32,"&lt;&gt;选学",$G$29:$G$32,"✓")=COUNTIFS($A$29:$A$32,"&lt;&gt;Agent",$A$29:$A$32,"&lt;&gt;Lab",$A$29:$A$32,"&lt;&gt;",$F$29:$F$32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Deterministic vs Agentic</x:v>
      </x:c>
      <x:c r="D9" s="84" t="str">
        <x:v>明确 LLM 与规则引擎边界</x:v>
      </x:c>
      <x:c r="E9" s="106" t="n">
        <x:v>0.5</x:v>
      </x:c>
      <x:c r="F9" s="247" t="str">
        <x:f>IF(COUNTIFS($A$29:$A$32,"Agent",$F$29:$F$32,"&lt;&gt;选学")=0,"☐",IF(COUNTIFS($A$29:$A$32,"Agent",$F$29:$F$32,"&lt;&gt;选学",$G$29:$G$32,"✓")=COUNTIFS($A$29:$A$32,"Agent",$F$29:$F$32,"&lt;&gt;选学"),"✓","☐"))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准备 10 条 Golden 问数问题</x:v>
      </x:c>
      <x:c r="D10" s="84" t="str">
        <x:v>定义 metric/dimension/time 预期</x:v>
      </x:c>
      <x:c r="E10" s="106" t="n">
        <x:v>0.75</x:v>
      </x:c>
      <x:c r="F10" s="247" t="str">
        <x:f>IF(COUNTIF($A$29:$A$32,"Lab")=0,"☐",IF(COUNTIFS($A$29:$A$32,"Lab",$G$29:$G$32,"✓")=COUNTIF($A$29:$A$32,"Lab"),"✓","☐"))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实现 NL → Plan → SQL → PostgreSQL → Table</x:v>
      </x:c>
      <x:c r="D11" s="84" t="str">
        <x:v>至少 8/10 问题正确执行</x:v>
      </x:c>
      <x:c r="E11" s="106" t="n">
        <x:v>1.5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列出 5 条不能交给 LLM 的规则</x:v>
      </x:c>
      <x:c r="D12" s="84" t="str">
        <x:v>例如权限/row limit/危险 SQL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我能解释：为什么不是让 LLM 直接随便写 SQL？哪些步骤必须 deterministic？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先不自动画图，先保证查数正确。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复习 Ch4 / Ch6 / Ch7</x:v>
      </x:c>
      <x:c r="D29" s="84" t="str">
        <x:v>Query / Body schema；Pydantic；SQL Query Parameters</x:v>
      </x:c>
      <x:c r="E29" s="84" t="str">
        <x:v>仅复习需要部分</x:v>
      </x:c>
      <x:c r="F29" s="84" t="str">
        <x:v>复习</x:v>
      </x:c>
      <x:c r="G29" s="84" t="str">
        <x:v>☐</x:v>
      </x:c>
    </x:row>
    <x:row r="30" ht="48" customHeight="1">
      <x:c r="A30" s="126" t="str">
        <x:v>Agent</x:v>
      </x:c>
      <x:c r="B30" s="84" t="str">
        <x:v>Agent 主课</x:v>
      </x:c>
      <x:c r="C30" s="84" t="str">
        <x:v>Structured Output + Function Calling</x:v>
      </x:c>
      <x:c r="D30" s="84" t="str">
        <x:v>Structured Output；Predictable Agent Responses；Function Calling</x:v>
      </x:c>
      <x:c r="E30" s="84" t="str">
        <x:v>指定小节</x:v>
      </x:c>
      <x:c r="F30" s="84" t="str">
        <x:v>复习</x:v>
      </x:c>
      <x:c r="G30" s="84" t="str">
        <x:v>☐</x:v>
      </x:c>
    </x:row>
    <x:row r="31" ht="48" customHeight="1">
      <x:c r="A31" s="84" t="str">
        <x:v>AI Architecture</x:v>
      </x:c>
      <x:c r="B31" s="84" t="str">
        <x:v>自建学习内容</x:v>
      </x:c>
      <x:c r="C31" s="84" t="str">
        <x:v>NL2SQL Guardrails</x:v>
      </x:c>
      <x:c r="D31" s="84" t="str">
        <x:v>Semantic Plan；Allowed Metrics / Dimensions；SQL Validator；Golden Cases</x:v>
      </x:c>
      <x:c r="E31" s="84" t="str">
        <x:v>全部</x:v>
      </x:c>
      <x:c r="F31" s="84" t="str">
        <x:v>必学</x:v>
      </x:c>
      <x:c r="G31" s="84" t="str">
        <x:v>☐</x:v>
      </x:c>
    </x:row>
    <x:row r="32" ht="62" customHeight="1">
      <x:c r="A32" s="194" t="str">
        <x:v>Lab</x:v>
      </x:c>
      <x:c r="B32" s="194" t="str">
        <x:v>配套 Teaching Notebook v5（Excel 任务 1:1 对照 + 答案）</x:v>
      </x:c>
      <x:c r="C32" s="194" t="str">
        <x:v>W06_NL2SQL_Guardrails_TEACHING_v5.ipynb</x:v>
      </x:c>
      <x:c r="D32" s="194" t="str">
        <x:v>Excel 5 个任务均在 Notebook 开头 1:1 对照；Task 3-5 有参考答案/参考实现；Task 1-2 用 Checkpoint/面试题验收。</x:v>
      </x:c>
      <x:c r="E32" s="194" t="str">
        <x:v>全部完成</x:v>
      </x:c>
      <x:c r="F32" s="194" t="str">
        <x:v>必做</x:v>
      </x:c>
      <x:c r="G32" s="194" t="str">
        <x:v>☐</x:v>
      </x:c>
    </x:row>
    <x:row r="33" ht="48" customHeight="1">
      <x:c r="A33" s="168"/>
      <x:c r="B33" s="84"/>
      <x:c r="C33" s="84"/>
      <x:c r="D33" s="84"/>
      <x:c r="E33" s="84"/>
      <x:c r="F33" s="84"/>
      <x:c r="G33" s="84"/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9" priority="2">
      <x:formula>$F8="✓"</x:formula>
    </x:cfRule>
  </x:conditionalFormatting>
  <x:conditionalFormatting sqref="A29:G32">
    <x:cfRule type="expression" dxfId="46" priority="3">
      <x:formula>$G29="✓"</x:formula>
    </x:cfRule>
  </x:conditionalFormatting>
  <x:conditionalFormatting sqref="F29:F32">
    <x:cfRule type="expression" dxfId="47" priority="4">
      <x:formula>$F29="必学"</x:formula>
    </x:cfRule>
    <x:cfRule type="expression" dxfId="48" priority="5">
      <x:formula>OR($F29="快看",$F29="快看但必须覆盖")</x:formula>
    </x:cfRule>
    <x:cfRule type="expression" dxfId="49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{2143C892-61A9-A378-867D-D9D0531D6839}</x14:id>
        </x:ext>
      </x:extLst>
    </x:cfRule>
  </x:conditionalFormatting>
  <x:conditionalFormatting sqref="F8:F12">
    <x:cfRule type="expression" dxfId="79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2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2143C892-61A9-A378-867D-D9D0531D6839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W07 Docker与MCP｜4小时任务表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让系统可复现启动，并理解 MCP 的真正定位</x:v>
      </x:c>
      <x:c r="C3" s="91" t="str"/>
      <x:c r="D3" s="91" t="str"/>
      <x:c r="E3" s="91" t="str">
        <x:v>建议</x:v>
      </x:c>
      <x:c r="F3" s="116" t="n">
        <x:v>4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Docker + MCP</x:v>
      </x:c>
      <x:c r="D8" s="84" t="str">
        <x:v>只学当前项目必需部分</x:v>
      </x:c>
      <x:c r="E8" s="106" t="n">
        <x:v>0.75</x:v>
      </x:c>
      <x:c r="F8" s="247" t="str">
        <x:f>IF(COUNTIFS($A$29:$A$31,"&lt;&gt;Agent",$A$29:$A$31,"&lt;&gt;Lab",$A$29:$A$31,"&lt;&gt;",$F$29:$F$31,"&lt;&gt;选学")=0,"☐",IF(COUNTIFS($A$29:$A$31,"&lt;&gt;Agent",$A$29:$A$31,"&lt;&gt;Lab",$A$29:$A$31,"&lt;&gt;",$F$29:$F$31,"&lt;&gt;选学",$G$29:$G$31,"✓")=COUNTIFS($A$29:$A$31,"&lt;&gt;Agent",$A$29:$A$31,"&lt;&gt;Lab",$A$29:$A$31,"&lt;&gt;",$F$29:$F$31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MCP Client / Server / Tool</x:v>
      </x:c>
      <x:c r="D9" s="84" t="str">
        <x:v>能解释 MCP vs REST/普通 Tool</x:v>
      </x:c>
      <x:c r="E9" s="106" t="n">
        <x:v>0.5</x:v>
      </x:c>
      <x:c r="F9" s="247" t="str">
        <x:f>IF(COUNTIFS($A$29:$A$31,"Agent",$F$29:$F$31,"&lt;&gt;选学")=0,"☐",IF(COUNTIFS($A$29:$A$31,"Agent",$F$29:$F$31,"&lt;&gt;选学",$G$29:$G$31,"✓")=COUNTIFS($A$29:$A$31,"Agent",$F$29:$F$31,"&lt;&gt;选学"),"✓","☐"))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写 Docker Compose</x:v>
      </x:c>
      <x:c r="D10" s="84" t="str">
        <x:v>FastAPI + PostgreSQL 可启动</x:v>
      </x:c>
      <x:c r="E10" s="106" t="n">
        <x:v>0.75</x:v>
      </x:c>
      <x:c r="F10" s="247" t="str">
        <x:f>IF(COUNTIF($A$29:$A$31,"Lab")=0,"☐",IF(COUNTIFS($A$29:$A$31,"Lab",$G$29:$G$31,"✓")=COUNTIF($A$29:$A$31,"Lab"),"✓","☐"))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一键启动核心系统 + 做 1 个最小 MCP Tool</x:v>
      </x:c>
      <x:c r="D11" s="84" t="str">
        <x:v>compose up 后 API 可用</x:v>
      </x:c>
      <x:c r="E11" s="106" t="n">
        <x:v>1.5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画 MCP 调用链</x:v>
      </x:c>
      <x:c r="D12" s="84" t="str">
        <x:v>能解释协议解决的是什么问题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我能解释：Image/Container/Volume/Network；MCP 为什么不是“更聪明的 Agent”。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不学 Kubernetes；MCP 只做最小实验。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Docker section</x:v>
      </x:c>
      <x:c r="D29" s="84" t="str">
        <x:v>Dockerfile；Image；Container；Volume；Network；Docker Compose</x:v>
      </x:c>
      <x:c r="E29" s="84" t="str">
        <x:v>指定小节</x:v>
      </x:c>
      <x:c r="F29" s="84" t="str">
        <x:v>必学</x:v>
      </x:c>
      <x:c r="G29" s="84" t="str">
        <x:v>☐</x:v>
      </x:c>
    </x:row>
    <x:row r="30" ht="48" customHeight="1">
      <x:c r="A30" s="126" t="str">
        <x:v>Agent</x:v>
      </x:c>
      <x:c r="B30" s="84" t="str">
        <x:v>Agent 主课</x:v>
      </x:c>
      <x:c r="C30" s="84" t="str">
        <x:v>Model Context Protocol (MCP)</x:v>
      </x:c>
      <x:c r="D30" s="84" t="str">
        <x:v>MCP 基本概念；MCP Server；MCP Client；Tool</x:v>
      </x:c>
      <x:c r="E30" s="84" t="str">
        <x:v>指定小节</x:v>
      </x:c>
      <x:c r="F30" s="84" t="str">
        <x:v>必学</x:v>
      </x:c>
      <x:c r="G30" s="84" t="str">
        <x:v>☐</x:v>
      </x:c>
    </x:row>
    <x:row r="31" ht="62" customHeight="1">
      <x:c r="A31" s="84" t="str">
        <x:v>Lab</x:v>
      </x:c>
      <x:c r="B31" s="84" t="str">
        <x:v>配套 Teaching Notebook v5（Excel 任务 1:1 对照 + 答案）</x:v>
      </x:c>
      <x:c r="C31" s="84" t="str">
        <x:v>W07_Docker_MCP_TEACHING_v5.ipynb</x:v>
      </x:c>
      <x:c r="D31" s="84" t="str">
        <x:v>Excel 5 个任务均在 Notebook 开头 1:1 对照；Task 3-5 有参考答案/参考实现；Task 1-2 用 Checkpoint/面试题验收。</x:v>
      </x:c>
      <x:c r="E31" s="84" t="str">
        <x:v>全部完成</x:v>
      </x:c>
      <x:c r="F31" s="84" t="str">
        <x:v>必做</x:v>
      </x:c>
      <x:c r="G31" s="84" t="str">
        <x:v>☐</x:v>
      </x:c>
    </x:row>
    <x:row r="32">
      <x:c r="A32" s="164"/>
      <x:c r="B32" s="164"/>
      <x:c r="C32" s="164"/>
      <x:c r="D32" s="164"/>
      <x:c r="E32" s="164"/>
      <x:c r="F32" s="164"/>
      <x:c r="G32" s="164"/>
    </x:row>
    <x:row r="33" ht="48" customHeight="1">
      <x:c r="A33" s="168"/>
      <x:c r="B33" s="84"/>
      <x:c r="C33" s="84"/>
      <x:c r="D33" s="84"/>
      <x:c r="E33" s="84"/>
      <x:c r="F33" s="84"/>
      <x:c r="G33" s="84"/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10" priority="2">
      <x:formula>$F8="✓"</x:formula>
    </x:cfRule>
  </x:conditionalFormatting>
  <x:conditionalFormatting sqref="A29:G31">
    <x:cfRule type="expression" dxfId="50" priority="3">
      <x:formula>$G29="✓"</x:formula>
    </x:cfRule>
  </x:conditionalFormatting>
  <x:conditionalFormatting sqref="F29:F31">
    <x:cfRule type="expression" dxfId="51" priority="4">
      <x:formula>$F29="必学"</x:formula>
    </x:cfRule>
    <x:cfRule type="expression" dxfId="52" priority="5">
      <x:formula>OR($F29="快看",$F29="快看但必须覆盖")</x:formula>
    </x:cfRule>
    <x:cfRule type="expression" dxfId="53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{EB2C7E2B-DE10-F697-7313-093559872686}</x14:id>
        </x:ext>
      </x:extLst>
    </x:cfRule>
  </x:conditionalFormatting>
  <x:conditionalFormatting sqref="F8:F12">
    <x:cfRule type="expression" dxfId="80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1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EB2C7E2B-DE10-F697-7313-093559872686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W08 Queue与Worker｜4小时任务表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把复杂分析从 HTTP 请求中拆出去，进入后台任务</x:v>
      </x:c>
      <x:c r="C3" s="91" t="str"/>
      <x:c r="D3" s="91" t="str"/>
      <x:c r="E3" s="91" t="str">
        <x:v>建议</x:v>
      </x:c>
      <x:c r="F3" s="116" t="n">
        <x:v>5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Celery/Redis/Worker</x:v>
      </x:c>
      <x:c r="D8" s="84" t="str">
        <x:v>围绕 long-running job</x:v>
      </x:c>
      <x:c r="E8" s="106" t="n">
        <x:v>0.75</x:v>
      </x:c>
      <x:c r="F8" s="247" t="str">
        <x:f>IF(COUNTIFS($A$29:$A$32,"&lt;&gt;Agent",$A$29:$A$32,"&lt;&gt;Lab",$A$29:$A$32,"&lt;&gt;",$F$29:$F$32,"&lt;&gt;选学")=0,"☐",IF(COUNTIFS($A$29:$A$32,"&lt;&gt;Agent",$A$29:$A$32,"&lt;&gt;Lab",$A$29:$A$32,"&lt;&gt;",$F$29:$F$32,"&lt;&gt;选学",$G$29:$G$32,"✓")=COUNTIFS($A$29:$A$32,"&lt;&gt;Agent",$A$29:$A$32,"&lt;&gt;Lab",$A$29:$A$32,"&lt;&gt;",$F$29:$F$32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Long-running Agent Task</x:v>
      </x:c>
      <x:c r="D9" s="84" t="str">
        <x:v>知道同步/异步任务边界</x:v>
      </x:c>
      <x:c r="E9" s="106" t="n">
        <x:v>0.5</x:v>
      </x:c>
      <x:c r="F9" s="247" t="str">
        <x:f>IF(COUNTIFS($A$29:$A$32,"Agent",$F$29:$F$32,"&lt;&gt;选学")=0,"☐",IF(COUNTIFS($A$29:$A$32,"Agent",$F$29:$F$32,"&lt;&gt;选学",$G$29:$G$32,"✓")=COUNTIFS($A$29:$A$32,"Agent",$F$29:$F$32,"&lt;&gt;选学"),"✓","☐"))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做一个最小 background job</x:v>
      </x:c>
      <x:c r="D10" s="84" t="str">
        <x:v>可创建任务并查询状态</x:v>
      </x:c>
      <x:c r="E10" s="106" t="n">
        <x:v>0.75</x:v>
      </x:c>
      <x:c r="F10" s="247" t="str">
        <x:f>IF(COUNTIF($A$29:$A$32,"Lab")=0,"☐",IF(COUNTIFS($A$29:$A$32,"Lab",$G$29:$G$32,"✓")=COUNTIF($A$29:$A$32,"Lab"),"✓","☐"))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复杂分析走 Queue → Worker → Result</x:v>
      </x:c>
      <x:c r="D11" s="84" t="str">
        <x:v>HTTP 不再等待长任务</x:v>
      </x:c>
      <x:c r="E11" s="106" t="n">
        <x:v>1.5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运行中 kill worker</x:v>
      </x:c>
      <x:c r="D12" s="84" t="str">
        <x:v>记录任务会卡在哪里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我能解释：为什么长任务不应该占着 HTTP？worker crash 后系统缺什么恢复机制？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不先追求完美恢复，先把异步任务链路跑通。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Celery / Background Worker</x:v>
      </x:c>
      <x:c r="D29" s="84" t="str">
        <x:v>Background Worker；Task Function；API 提交任务；Flower / Monitoring（快看）</x:v>
      </x:c>
      <x:c r="E29" s="84" t="str">
        <x:v>指定小节</x:v>
      </x:c>
      <x:c r="F29" s="84" t="str">
        <x:v>必学</x:v>
      </x:c>
      <x:c r="G29" s="84" t="str">
        <x:v>☐</x:v>
      </x:c>
    </x:row>
    <x:row r="30" ht="48" customHeight="1">
      <x:c r="A30" s="126" t="str">
        <x:v>Backend</x:v>
      </x:c>
      <x:c r="B30" s="84" t="str">
        <x:v>FastAPI 主课</x:v>
      </x:c>
      <x:c r="C30" s="84" t="str">
        <x:v>Redis / Compose 相关</x:v>
      </x:c>
      <x:c r="D30" s="84" t="str">
        <x:v>Redis 作为 Broker / Cache；API / DB / Redis / Worker Compose 串联</x:v>
      </x:c>
      <x:c r="E30" s="84" t="str">
        <x:v>指定小节</x:v>
      </x:c>
      <x:c r="F30" s="84" t="str">
        <x:v>必学</x:v>
      </x:c>
      <x:c r="G30" s="84" t="str">
        <x:v>☐</x:v>
      </x:c>
    </x:row>
    <x:row r="31" ht="48" customHeight="1">
      <x:c r="A31" s="84" t="str">
        <x:v>Agent</x:v>
      </x:c>
      <x:c r="B31" s="84" t="str">
        <x:v>LangGraph 补充课</x:v>
      </x:c>
      <x:c r="C31" s="84" t="str">
        <x:v>Async Execution</x:v>
      </x:c>
      <x:c r="D31" s="84" t="str">
        <x:v>Graph async / parallel execution（用于理解和 Worker 的边界）</x:v>
      </x:c>
      <x:c r="E31" s="84" t="str">
        <x:v>指定小节</x:v>
      </x:c>
      <x:c r="F31" s="84" t="str">
        <x:v>快看</x:v>
      </x:c>
      <x:c r="G31" s="84" t="str">
        <x:v>☐</x:v>
      </x:c>
    </x:row>
    <x:row r="32" ht="62" customHeight="1">
      <x:c r="A32" s="194" t="str">
        <x:v>Lab</x:v>
      </x:c>
      <x:c r="B32" s="194" t="str">
        <x:v>配套 Teaching Notebook v5（Excel 任务 1:1 对照 + 答案）</x:v>
      </x:c>
      <x:c r="C32" s="194" t="str">
        <x:v>W08_Queue_Worker_TEACHING_v5.ipynb</x:v>
      </x:c>
      <x:c r="D32" s="194" t="str">
        <x:v>Excel 5 个任务均在 Notebook 开头 1:1 对照；Task 3-5 有参考答案/参考实现；Task 1-2 用 Checkpoint/面试题验收。</x:v>
      </x:c>
      <x:c r="E32" s="194" t="str">
        <x:v>全部完成</x:v>
      </x:c>
      <x:c r="F32" s="194" t="str">
        <x:v>必做</x:v>
      </x:c>
      <x:c r="G32" s="194" t="str">
        <x:v>☐</x:v>
      </x:c>
    </x:row>
    <x:row r="33" ht="48" customHeight="1">
      <x:c r="A33" s="168"/>
      <x:c r="B33" s="84"/>
      <x:c r="C33" s="84"/>
      <x:c r="D33" s="84"/>
      <x:c r="E33" s="84"/>
      <x:c r="F33" s="84"/>
      <x:c r="G33" s="84"/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11" priority="2">
      <x:formula>$F8="✓"</x:formula>
    </x:cfRule>
  </x:conditionalFormatting>
  <x:conditionalFormatting sqref="A29:G32">
    <x:cfRule type="expression" dxfId="54" priority="3">
      <x:formula>$G29="✓"</x:formula>
    </x:cfRule>
  </x:conditionalFormatting>
  <x:conditionalFormatting sqref="F29:F32">
    <x:cfRule type="expression" dxfId="55" priority="4">
      <x:formula>$F29="必学"</x:formula>
    </x:cfRule>
    <x:cfRule type="expression" dxfId="56" priority="5">
      <x:formula>OR($F29="快看",$F29="快看但必须覆盖")</x:formula>
    </x:cfRule>
    <x:cfRule type="expression" dxfId="57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{5AA8F2AF-FA57-6212-59CF-087612C72DD2}</x14:id>
        </x:ext>
      </x:extLst>
    </x:cfRule>
  </x:conditionalFormatting>
  <x:conditionalFormatting sqref="F8:F12">
    <x:cfRule type="expression" dxfId="81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2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5AA8F2AF-FA57-6212-59CF-087612C72DD2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W09 可靠性｜4小时任务表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让系统面对 Timeout、重复请求和 Tool Failure 时不乱</x:v>
      </x:c>
      <x:c r="C3" s="91" t="str"/>
      <x:c r="D3" s="91" t="str"/>
      <x:c r="E3" s="91" t="str">
        <x:v>建议</x:v>
      </x:c>
      <x:c r="F3" s="116" t="n">
        <x:v>5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按下方课程映射完成错误处理 + Reliability</x:v>
      </x:c>
      <x:c r="D8" s="84" t="str">
        <x:v>重点掌握 retry / idempotency / failure classification</x:v>
      </x:c>
      <x:c r="E8" s="106" t="n">
        <x:v>0.75</x:v>
      </x:c>
      <x:c r="F8" s="247" t="str">
        <x:f>IF(COUNTIFS($A$29:$A$33,"&lt;&gt;Agent",$A$29:$A$33,"&lt;&gt;Lab",$A$29:$A$33,"&lt;&gt;",$F$29:$F$33,"&lt;&gt;选学")=0,"☐",IF(COUNTIFS($A$29:$A$33,"&lt;&gt;Agent",$A$29:$A$33,"&lt;&gt;Lab",$A$29:$A$33,"&lt;&gt;",$F$29:$F$33,"&lt;&gt;选学",$G$29:$G$33,"✓")=COUNTIFS($A$29:$A$33,"&lt;&gt;Agent",$A$29:$A$33,"&lt;&gt;Lab",$A$29:$A$33,"&lt;&gt;",$F$29:$F$33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HITL / Tool Failure Fallback</x:v>
      </x:c>
      <x:c r="D9" s="84" t="str">
        <x:v>知道高风险动作何时需确认</x:v>
      </x:c>
      <x:c r="E9" s="106" t="n">
        <x:v>0.5</x:v>
      </x:c>
      <x:c r="F9" s="247" t="str">
        <x:f>IF(COUNTIFS($A$29:$A$33,"Agent",$F$29:$F$33,"&lt;&gt;选学")=0,"☐",IF(COUNTIFS($A$29:$A$33,"Agent",$F$29:$F$33,"&lt;&gt;选学",$G$29:$G$33,"✓")=COUNTIFS($A$29:$A$33,"Agent",$F$29:$F$33,"&lt;&gt;选学"),"✓","☐"))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重复 POST + Tool 500 故障实验</x:v>
      </x:c>
      <x:c r="D10" s="84" t="str">
        <x:v>观察重复副作用</x:v>
      </x:c>
      <x:c r="E10" s="106" t="n">
        <x:v>0.75</x:v>
      </x:c>
      <x:c r="F10" s="247" t="str">
        <x:f>IF(COUNTIF($A$29:$A$33,"Lab")=0,"☐",IF(COUNTIFS($A$29:$A$33,"Lab",$G$29:$G$33,"✓")=COUNTIF($A$29:$A$33,"Lab"),"✓","☐"))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加入 idempotency + 基础 retry</x:v>
      </x:c>
      <x:c r="D11" s="84" t="str">
        <x:v>重复请求只生成一个 Job</x:v>
      </x:c>
      <x:c r="E11" s="106" t="n">
        <x:v>1.5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写一个 Failure Flow</x:v>
      </x:c>
      <x:c r="D12" s="84" t="str">
        <x:v>能解释失败后怎么安全重试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我能解释：为什么接口 timeout 后不能直接认为失败？Idempotency 怎么防重复副作用？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不堆复杂 resilience library，先理解机制。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Error Handling / API Testing</x:v>
      </x:c>
      <x:c r="D29" s="84" t="str">
        <x:v>异常分类；错误响应；错误路径测试</x:v>
      </x:c>
      <x:c r="E29" s="84" t="str">
        <x:v>指定小节</x:v>
      </x:c>
      <x:c r="F29" s="84" t="str">
        <x:v>快看</x:v>
      </x:c>
      <x:c r="G29" s="84" t="str">
        <x:v>☐</x:v>
      </x:c>
    </x:row>
    <x:row r="30" ht="48" customHeight="1">
      <x:c r="A30" s="126" t="str">
        <x:v>Production</x:v>
      </x:c>
      <x:c r="B30" s="84" t="str">
        <x:v>自建学习内容</x:v>
      </x:c>
      <x:c r="C30" s="84" t="str">
        <x:v>Reliability</x:v>
      </x:c>
      <x:c r="D30" s="84" t="str">
        <x:v>Timeout；Retry；Exponential Backoff；Idempotency Key；Duplicate Request</x:v>
      </x:c>
      <x:c r="E30" s="84" t="str">
        <x:v>全部</x:v>
      </x:c>
      <x:c r="F30" s="84" t="str">
        <x:v>必学</x:v>
      </x:c>
      <x:c r="G30" s="84" t="str">
        <x:v>☐</x:v>
      </x:c>
    </x:row>
    <x:row r="31" ht="48" customHeight="1">
      <x:c r="A31" s="84" t="str">
        <x:v>Agent</x:v>
      </x:c>
      <x:c r="B31" s="84" t="str">
        <x:v>LangGraph 补充课</x:v>
      </x:c>
      <x:c r="C31" s="84" t="str">
        <x:v>Persistence / HITL</x:v>
      </x:c>
      <x:c r="D31" s="84" t="str">
        <x:v>Interrupt；Resume；Human Confirmation</x:v>
      </x:c>
      <x:c r="E31" s="84" t="str">
        <x:v>指定小节</x:v>
      </x:c>
      <x:c r="F31" s="84" t="str">
        <x:v>必学</x:v>
      </x:c>
      <x:c r="G31" s="84" t="str">
        <x:v>☐</x:v>
      </x:c>
    </x:row>
    <x:row r="32" ht="48" customHeight="1">
      <x:c r="A32" s="194" t="str">
        <x:v>Agent</x:v>
      </x:c>
      <x:c r="B32" s="194" t="str">
        <x:v>Agent 主课</x:v>
      </x:c>
      <x:c r="C32" s="194" t="str">
        <x:v>Agent Security / Production</x:v>
      </x:c>
      <x:c r="D32" s="194" t="str">
        <x:v>Tool 权限；副作用；Production failure modes</x:v>
      </x:c>
      <x:c r="E32" s="194" t="str">
        <x:v>指定小节</x:v>
      </x:c>
      <x:c r="F32" s="194" t="str">
        <x:v>快看</x:v>
      </x:c>
      <x:c r="G32" s="194" t="str">
        <x:v>☐</x:v>
      </x:c>
    </x:row>
    <x:row r="33" ht="62" customHeight="1">
      <x:c r="A33" s="126" t="str">
        <x:v>Lab</x:v>
      </x:c>
      <x:c r="B33" s="84" t="str">
        <x:v>配套 Teaching Notebook v5（Excel 任务 1:1 对照 + 答案）</x:v>
      </x:c>
      <x:c r="C33" s="84" t="str">
        <x:v>W09_Reliability_Idempotency_TEACHING_v5.ipynb</x:v>
      </x:c>
      <x:c r="D33" s="84" t="str">
        <x:v>Excel 5 个任务均在 Notebook 开头 1:1 对照；Task 3-5 有参考答案/参考实现；Task 1-2 用 Checkpoint/面试题验收。</x:v>
      </x:c>
      <x:c r="E33" s="84" t="str">
        <x:v>全部完成</x:v>
      </x:c>
      <x:c r="F33" s="84" t="str">
        <x:v>必做</x:v>
      </x:c>
      <x:c r="G33" s="84" t="str">
        <x:v>☐</x:v>
      </x:c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12" priority="2">
      <x:formula>$F8="✓"</x:formula>
    </x:cfRule>
  </x:conditionalFormatting>
  <x:conditionalFormatting sqref="A29:G33">
    <x:cfRule type="expression" dxfId="58" priority="3">
      <x:formula>$G29="✓"</x:formula>
    </x:cfRule>
  </x:conditionalFormatting>
  <x:conditionalFormatting sqref="F29:F33">
    <x:cfRule type="expression" dxfId="59" priority="4">
      <x:formula>$F29="必学"</x:formula>
    </x:cfRule>
    <x:cfRule type="expression" dxfId="60" priority="5">
      <x:formula>OR($F29="快看",$F29="快看但必须覆盖")</x:formula>
    </x:cfRule>
    <x:cfRule type="expression" dxfId="61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{A8F70256-2F95-458D-CDE2-7A5DF19298A8}</x14:id>
        </x:ext>
      </x:extLst>
    </x:cfRule>
  </x:conditionalFormatting>
  <x:conditionalFormatting sqref="F8:F12">
    <x:cfRule type="expression" dxfId="82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3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A8F70256-2F95-458D-CDE2-7A5DF19298A8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W10 可观测与评估｜4小时任务表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能看见一次请求到底发生了什么，并开始量化 Agent 质量</x:v>
      </x:c>
      <x:c r="C3" s="91" t="str"/>
      <x:c r="D3" s="91" t="str"/>
      <x:c r="E3" s="91" t="str">
        <x:v>建议</x:v>
      </x:c>
      <x:c r="F3" s="116" t="n">
        <x:v>5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Testing + Observability 基础</x:v>
      </x:c>
      <x:c r="D8" s="84" t="str">
        <x:v>重点是可定位、可回归、可观测</x:v>
      </x:c>
      <x:c r="E8" s="106" t="n">
        <x:v>0.75</x:v>
      </x:c>
      <x:c r="F8" s="247" t="str">
        <x:f>IF(COUNTIFS($A$29:$A$32,"&lt;&gt;Agent",$A$29:$A$32,"&lt;&gt;Lab",$A$29:$A$32,"&lt;&gt;",$F$29:$F$32,"&lt;&gt;选学")=0,"☐",IF(COUNTIFS($A$29:$A$32,"&lt;&gt;Agent",$A$29:$A$32,"&lt;&gt;Lab",$A$29:$A$32,"&lt;&gt;",$F$29:$F$32,"&lt;&gt;选学",$G$29:$G$32,"✓")=COUNTIFS($A$29:$A$32,"&lt;&gt;Agent",$A$29:$A$32,"&lt;&gt;Lab",$A$29:$A$32,"&lt;&gt;",$F$29:$F$32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Trace + Golden Evaluation</x:v>
      </x:c>
      <x:c r="D9" s="84" t="str">
        <x:v>知道 Agent 不能只靠主观测试</x:v>
      </x:c>
      <x:c r="E9" s="106" t="n">
        <x:v>0.5</x:v>
      </x:c>
      <x:c r="F9" s="247" t="str">
        <x:f>IF(COUNTIFS($A$29:$A$32,"Agent",$F$29:$F$32,"&lt;&gt;选学")=0,"☐",IF(COUNTIFS($A$29:$A$32,"Agent",$F$29:$F$32,"&lt;&gt;选学",$G$29:$G$32,"✓")=COUNTIFS($A$29:$A$32,"Agent",$F$29:$F$32,"&lt;&gt;选学"),"✓","☐"))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故意制造 1 次慢请求/失败</x:v>
      </x:c>
      <x:c r="D10" s="84" t="str">
        <x:v>从日志定位到具体步骤</x:v>
      </x:c>
      <x:c r="E10" s="106" t="n">
        <x:v>0.75</x:v>
      </x:c>
      <x:c r="F10" s="247" t="str">
        <x:f>IF(COUNTIF($A$29:$A$32,"Lab")=0,"☐",IF(COUNTIFS($A$29:$A$32,"Lab",$G$29:$G$32,"✓")=COUNTIF($A$29:$A$32,"Lab"),"✓","☐"))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加 trace_id + 10 条 Golden Cases</x:v>
      </x:c>
      <x:c r="D11" s="84" t="str">
        <x:v>可追踪 Intent→SQL→DB→Answer</x:v>
      </x:c>
      <x:c r="E11" s="106" t="n">
        <x:v>1.5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记录 3 个质量指标</x:v>
      </x:c>
      <x:c r="D12" s="84" t="str">
        <x:v>Intent/Query/Chart 等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我能解释：500 error 怎样定位？如何证明 Agent 版本变好而不是“感觉更好”？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先不搭完整 Grafana 大盘。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FastAPI 主课</x:v>
      </x:c>
      <x:c r="C29" s="84" t="str">
        <x:v>pytest + API Testing</x:v>
      </x:c>
      <x:c r="D29" s="84" t="str">
        <x:v>Fixtures；TestClient；Test DB；Dependency Override 核心内容</x:v>
      </x:c>
      <x:c r="E29" s="84" t="str">
        <x:v>指定小节</x:v>
      </x:c>
      <x:c r="F29" s="84" t="str">
        <x:v>必学</x:v>
      </x:c>
      <x:c r="G29" s="84" t="str">
        <x:v>☐</x:v>
      </x:c>
    </x:row>
    <x:row r="30" ht="48" customHeight="1">
      <x:c r="A30" s="126" t="str">
        <x:v>Agent</x:v>
      </x:c>
      <x:c r="B30" s="84" t="str">
        <x:v>Agent 主课</x:v>
      </x:c>
      <x:c r="C30" s="84" t="str">
        <x:v>LangSmith Tracing</x:v>
      </x:c>
      <x:c r="D30" s="84" t="str">
        <x:v>Tracing；LLM / Tool step；Latency 分解</x:v>
      </x:c>
      <x:c r="E30" s="84" t="str">
        <x:v>指定小节</x:v>
      </x:c>
      <x:c r="F30" s="84" t="str">
        <x:v>必学</x:v>
      </x:c>
      <x:c r="G30" s="84" t="str">
        <x:v>☐</x:v>
      </x:c>
    </x:row>
    <x:row r="31" ht="48" customHeight="1">
      <x:c r="A31" s="84" t="str">
        <x:v>AI Quality</x:v>
      </x:c>
      <x:c r="B31" s="84" t="str">
        <x:v>自建学习内容</x:v>
      </x:c>
      <x:c r="C31" s="84" t="str">
        <x:v>Evaluation</x:v>
      </x:c>
      <x:c r="D31" s="84" t="str">
        <x:v>Golden Dataset；Intent / Plan / SQL / Answer 分层评估</x:v>
      </x:c>
      <x:c r="E31" s="84" t="str">
        <x:v>全部</x:v>
      </x:c>
      <x:c r="F31" s="84" t="str">
        <x:v>必学</x:v>
      </x:c>
      <x:c r="G31" s="84" t="str">
        <x:v>☐</x:v>
      </x:c>
    </x:row>
    <x:row r="32" ht="62" customHeight="1">
      <x:c r="A32" s="194" t="str">
        <x:v>Lab</x:v>
      </x:c>
      <x:c r="B32" s="194" t="str">
        <x:v>配套 Teaching Notebook v5（Excel 任务 1:1 对照 + 答案）</x:v>
      </x:c>
      <x:c r="C32" s="194" t="str">
        <x:v>W10_Observability_Evaluation_TEACHING_v5.ipynb</x:v>
      </x:c>
      <x:c r="D32" s="194" t="str">
        <x:v>Excel 5 个任务均在 Notebook 开头 1:1 对照；Task 3-5 有参考答案/参考实现；Task 1-2 用 Checkpoint/面试题验收。</x:v>
      </x:c>
      <x:c r="E32" s="194" t="str">
        <x:v>全部完成</x:v>
      </x:c>
      <x:c r="F32" s="194" t="str">
        <x:v>必做</x:v>
      </x:c>
      <x:c r="G32" s="194" t="str">
        <x:v>☐</x:v>
      </x:c>
    </x:row>
    <x:row r="33" ht="48" customHeight="1">
      <x:c r="A33" s="168"/>
      <x:c r="B33" s="84"/>
      <x:c r="C33" s="84"/>
      <x:c r="D33" s="84"/>
      <x:c r="E33" s="84"/>
      <x:c r="F33" s="84"/>
      <x:c r="G33" s="84"/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13" priority="2">
      <x:formula>$F8="✓"</x:formula>
    </x:cfRule>
  </x:conditionalFormatting>
  <x:conditionalFormatting sqref="A29:G32">
    <x:cfRule type="expression" dxfId="62" priority="3">
      <x:formula>$G29="✓"</x:formula>
    </x:cfRule>
  </x:conditionalFormatting>
  <x:conditionalFormatting sqref="F29:F32">
    <x:cfRule type="expression" dxfId="63" priority="4">
      <x:formula>$F29="必学"</x:formula>
    </x:cfRule>
    <x:cfRule type="expression" dxfId="64" priority="5">
      <x:formula>OR($F29="快看",$F29="快看但必须覆盖")</x:formula>
    </x:cfRule>
    <x:cfRule type="expression" dxfId="65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{E624A51E-4BBD-9A16-B34D-A8F167C49B56}</x14:id>
        </x:ext>
      </x:extLst>
    </x:cfRule>
  </x:conditionalFormatting>
  <x:conditionalFormatting sqref="F8:F12">
    <x:cfRule type="expression" dxfId="83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2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E624A51E-4BBD-9A16-B34D-A8F167C49B56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W11 性能与质量｜4小时任务表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第一次用数据判断系统快不快、准不准</x:v>
      </x:c>
      <x:c r="C3" s="91" t="str"/>
      <x:c r="D3" s="91" t="str"/>
      <x:c r="E3" s="91" t="str">
        <x:v>建议</x:v>
      </x:c>
      <x:c r="F3" s="116" t="n">
        <x:v>5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按下方课程映射完成 Pool / Load Test</x:v>
      </x:c>
      <x:c r="D8" s="84" t="str">
        <x:v>重点是 p95 / throughput / resource boundary</x:v>
      </x:c>
      <x:c r="E8" s="106" t="n">
        <x:v>0.75</x:v>
      </x:c>
      <x:c r="F8" s="247" t="str">
        <x:f>IF(COUNTIFS($A$29:$A$32,"&lt;&gt;Agent",$A$29:$A$32,"&lt;&gt;Lab",$A$29:$A$32,"&lt;&gt;",$F$29:$F$32,"&lt;&gt;选学")=0,"☐",IF(COUNTIFS($A$29:$A$32,"&lt;&gt;Agent",$A$29:$A$32,"&lt;&gt;Lab",$A$29:$A$32,"&lt;&gt;",$F$29:$F$32,"&lt;&gt;选学",$G$29:$G$32,"✓")=COUNTIFS($A$29:$A$32,"&lt;&gt;Agent",$A$29:$A$32,"&lt;&gt;Lab",$A$29:$A$32,"&lt;&gt;",$F$29:$F$32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学 Eval Metrics / Robustness</x:v>
      </x:c>
      <x:c r="D9" s="84" t="str">
        <x:v>定义核心质量指标</x:v>
      </x:c>
      <x:c r="E9" s="106" t="n">
        <x:v>0.5</x:v>
      </x:c>
      <x:c r="F9" s="247" t="str">
        <x:f>IF(COUNTIFS($A$29:$A$32,"Agent",$F$29:$F$32,"&lt;&gt;选学")=0,"☐",IF(COUNTIFS($A$29:$A$32,"Agent",$F$29:$F$32,"&lt;&gt;选学",$G$29:$G$32,"✓")=COUNTIFS($A$29:$A$32,"Agent",$F$29:$F$32,"&lt;&gt;选学"),"✓","☐"))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做 1/10/50 并发压测</x:v>
      </x:c>
      <x:c r="D10" s="84" t="str">
        <x:v>记录 latency/error rate</x:v>
      </x:c>
      <x:c r="E10" s="106" t="n">
        <x:v>0.75</x:v>
      </x:c>
      <x:c r="F10" s="247" t="str">
        <x:f>IF(COUNTIF($A$29:$A$32,"Lab")=0,"☐",IF(COUNTIFS($A$29:$A$32,"Lab",$G$29:$G$32,"✓")=COUNTIF($A$29:$A$32,"Lab"),"✓","☐"))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跑 Golden Eval + 修 1 个瓶颈</x:v>
      </x:c>
      <x:c r="D11" s="84" t="str">
        <x:v>形成一页性能与质量结果</x:v>
      </x:c>
      <x:c r="E11" s="106" t="n">
        <x:v>1.5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写 3 个瓶颈和 1 个改进</x:v>
      </x:c>
      <x:c r="D12" s="84" t="str">
        <x:v>用数据而不是感觉判断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我能解释：p95 是什么？为什么 connection pool 不是越大越好？Agent 质量怎么量化？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不追求互联网大厂级 QPS；目标是掌握方法。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Database Engineering</x:v>
      </x:c>
      <x:c r="C29" s="84" t="str">
        <x:v>Connection Pooling</x:v>
      </x:c>
      <x:c r="D29" s="84" t="str">
        <x:v>Connection Pooling + 并发连接边界</x:v>
      </x:c>
      <x:c r="E29" s="84" t="str">
        <x:v>指定小节</x:v>
      </x:c>
      <x:c r="F29" s="84" t="str">
        <x:v>复习</x:v>
      </x:c>
      <x:c r="G29" s="84" t="str">
        <x:v>☐</x:v>
      </x:c>
    </x:row>
    <x:row r="30" ht="48" customHeight="1">
      <x:c r="A30" s="126" t="str">
        <x:v>Production</x:v>
      </x:c>
      <x:c r="B30" s="84" t="str">
        <x:v>自建学习内容</x:v>
      </x:c>
      <x:c r="C30" s="84" t="str">
        <x:v>Performance</x:v>
      </x:c>
      <x:c r="D30" s="84" t="str">
        <x:v>p50 / p95；Throughput；Error Rate；1 / 10 / 50 并发压测</x:v>
      </x:c>
      <x:c r="E30" s="84" t="str">
        <x:v>全部</x:v>
      </x:c>
      <x:c r="F30" s="84" t="str">
        <x:v>必学</x:v>
      </x:c>
      <x:c r="G30" s="84" t="str">
        <x:v>☐</x:v>
      </x:c>
    </x:row>
    <x:row r="31" ht="48" customHeight="1">
      <x:c r="A31" s="84" t="str">
        <x:v>Agent</x:v>
      </x:c>
      <x:c r="B31" s="84" t="str">
        <x:v>Agent 主课</x:v>
      </x:c>
      <x:c r="C31" s="84" t="str">
        <x:v>Evaluation / Model Comparison</x:v>
      </x:c>
      <x:c r="D31" s="84" t="str">
        <x:v>质量 / 延迟 / 成本 trade-off 相关内容</x:v>
      </x:c>
      <x:c r="E31" s="84" t="str">
        <x:v>指定小节</x:v>
      </x:c>
      <x:c r="F31" s="84" t="str">
        <x:v>快看</x:v>
      </x:c>
      <x:c r="G31" s="84" t="str">
        <x:v>☐</x:v>
      </x:c>
    </x:row>
    <x:row r="32" ht="62" customHeight="1">
      <x:c r="A32" s="194" t="str">
        <x:v>Lab</x:v>
      </x:c>
      <x:c r="B32" s="194" t="str">
        <x:v>配套 Teaching Notebook v5（Excel 任务 1:1 对照 + 答案）</x:v>
      </x:c>
      <x:c r="C32" s="194" t="str">
        <x:v>W11_Performance_Quality_TEACHING_v5.ipynb</x:v>
      </x:c>
      <x:c r="D32" s="194" t="str">
        <x:v>Excel 5 个任务均在 Notebook 开头 1:1 对照；Task 3-5 有参考答案/参考实现；Task 1-2 用 Checkpoint/面试题验收。</x:v>
      </x:c>
      <x:c r="E32" s="194" t="str">
        <x:v>全部完成</x:v>
      </x:c>
      <x:c r="F32" s="194" t="str">
        <x:v>必做</x:v>
      </x:c>
      <x:c r="G32" s="194" t="str">
        <x:v>☐</x:v>
      </x:c>
    </x:row>
    <x:row r="33" ht="48" customHeight="1">
      <x:c r="A33" s="168"/>
      <x:c r="B33" s="84"/>
      <x:c r="C33" s="84"/>
      <x:c r="D33" s="84"/>
      <x:c r="E33" s="84"/>
      <x:c r="F33" s="84"/>
      <x:c r="G33" s="84"/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14" priority="2">
      <x:formula>$F8="✓"</x:formula>
    </x:cfRule>
  </x:conditionalFormatting>
  <x:conditionalFormatting sqref="A29:G32">
    <x:cfRule type="expression" dxfId="66" priority="3">
      <x:formula>$G29="✓"</x:formula>
    </x:cfRule>
  </x:conditionalFormatting>
  <x:conditionalFormatting sqref="F29:F32">
    <x:cfRule type="expression" dxfId="67" priority="4">
      <x:formula>$F29="必学"</x:formula>
    </x:cfRule>
    <x:cfRule type="expression" dxfId="68" priority="5">
      <x:formula>OR($F29="快看",$F29="快看但必须覆盖")</x:formula>
    </x:cfRule>
    <x:cfRule type="expression" dxfId="69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{519B665F-69D9-2D76-F51F-6BA12418724C}</x14:id>
        </x:ext>
      </x:extLst>
    </x:cfRule>
  </x:conditionalFormatting>
  <x:conditionalFormatting sqref="F8:F12">
    <x:cfRule type="expression" dxfId="84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2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519B665F-69D9-2D76-F51F-6BA12418724C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15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60" hidden="0" customWidth="1"/>
    <x:col min="5" max="5" width="18" hidden="0" customWidth="1"/>
    <x:col min="6" max="6" width="18" hidden="0" customWidth="1"/>
    <x:col min="7" max="7" width="9" hidden="0" customWidth="1"/>
  </x:cols>
  <x:sheetData>
    <x:row r="1">
      <x:c r="A1" s="88" t="str">
        <x:v>W12 Capstone｜4小时任务表</x:v>
      </x:c>
      <x:c r="B1" s="88"/>
      <x:c r="C1" s="88"/>
      <x:c r="D1" s="88"/>
      <x:c r="E1" s="88"/>
      <x:c r="F1" s="88"/>
      <x:c r="G1" s="88"/>
    </x:row>
    <x:row r="2">
      <x:c r="G2" s="70" t="str">
        <x:v>进度</x:v>
      </x:c>
    </x:row>
    <x:row r="3">
      <x:c r="A3" s="91" t="str">
        <x:v>本周目标</x:v>
      </x:c>
      <x:c r="B3" s="91" t="str">
        <x:v>把 12 周知识收束成一个能演示、能面试讲清楚的系统</x:v>
      </x:c>
      <x:c r="C3" s="91" t="str"/>
      <x:c r="D3" s="91" t="str"/>
      <x:c r="E3" s="91" t="str">
        <x:v>建议</x:v>
      </x:c>
      <x:c r="F3" s="116" t="n">
        <x:v>4</x:v>
      </x:c>
      <x:c r="G3" s="34" t="n">
        <x:f>COUNTIF(F8:F12,"✓")/5</x:f>
        <x:v>0</x:v>
      </x:c>
    </x:row>
    <x:row r="5">
      <x:c r="A5" s="95" t="str">
        <x:v>忙的时候也不要放弃：优先完成 ChatBI + 复盘，再补 1 个核心学习任务；不要跨周补债。</x:v>
      </x:c>
      <x:c r="B5" s="95"/>
      <x:c r="C5" s="95"/>
      <x:c r="D5" s="95"/>
      <x:c r="E5" s="95"/>
      <x:c r="F5" s="95"/>
      <x:c r="G5" s="95"/>
    </x:row>
    <x:row r="7">
      <x:c r="A7" s="103" t="str">
        <x:v>#</x:v>
      </x:c>
      <x:c r="B7" s="103" t="str">
        <x:v>模块</x:v>
      </x:c>
      <x:c r="C7" s="103" t="str">
        <x:v>具体任务</x:v>
      </x:c>
      <x:c r="D7" s="103" t="str">
        <x:v>输出 / 验收</x:v>
      </x:c>
      <x:c r="E7" s="103" t="str">
        <x:v>时间</x:v>
      </x:c>
      <x:c r="F7" s="103" t="str">
        <x:v>完成</x:v>
      </x:c>
      <x:c r="G7" s="103" t="str">
        <x:v>备注</x:v>
      </x:c>
    </x:row>
    <x:row r="8" ht="40" customHeight="1">
      <x:c r="A8" s="84" t="n">
        <x:v>1</x:v>
      </x:c>
      <x:c r="B8" s="84" t="str">
        <x:v>Backend</x:v>
      </x:c>
      <x:c r="C8" s="84" t="str">
        <x:v>按下方课程映射复盘，不开新课程</x:v>
      </x:c>
      <x:c r="D8" s="84" t="str">
        <x:v>只收口与讲清系统</x:v>
      </x:c>
      <x:c r="E8" s="106" t="n">
        <x:v>0.5</x:v>
      </x:c>
      <x:c r="F8" s="247" t="str">
        <x:f>IF(COUNTIFS($A$29:$A$31,"&lt;&gt;Agent",$A$29:$A$31,"&lt;&gt;Lab",$A$29:$A$31,"&lt;&gt;",$F$29:$F$31,"&lt;&gt;选学")=0,"☐",IF(COUNTIFS($A$29:$A$31,"&lt;&gt;Agent",$A$29:$A$31,"&lt;&gt;Lab",$A$29:$A$31,"&lt;&gt;",$F$29:$F$31,"&lt;&gt;选学",$G$29:$G$31,"✓")=COUNTIFS($A$29:$A$31,"&lt;&gt;Agent",$A$29:$A$31,"&lt;&gt;Lab",$A$29:$A$31,"&lt;&gt;",$F$29:$F$31,"&lt;&gt;选学"),"✓","☐"))</x:f>
        <x:v>☐</x:v>
      </x:c>
      <x:c r="G8" s="84" t="str">
        <x:v>自动：完成下方非 Agent/Lab 必学课程后变 ✓</x:v>
      </x:c>
    </x:row>
    <x:row r="9" ht="40" customHeight="1">
      <x:c r="A9" s="84" t="n">
        <x:v>2</x:v>
      </x:c>
      <x:c r="B9" s="84" t="str">
        <x:v>Agent</x:v>
      </x:c>
      <x:c r="C9" s="84" t="str">
        <x:v>做 Agent Architecture Review</x:v>
      </x:c>
      <x:c r="D9" s="84" t="str">
        <x:v>State/Tool/Checkpoint/Eval 边界清晰</x:v>
      </x:c>
      <x:c r="E9" s="106" t="n">
        <x:v>0.5</x:v>
      </x:c>
      <x:c r="F9" s="247" t="str">
        <x:f>IF(COUNTIFS($A$29:$A$31,"Agent",$F$29:$F$31,"&lt;&gt;选学")=0,"☐",IF(COUNTIFS($A$29:$A$31,"Agent",$F$29:$F$31,"&lt;&gt;选学",$G$29:$G$31,"✓")=COUNTIFS($A$29:$A$31,"Agent",$F$29:$F$31,"&lt;&gt;选学"),"✓","☐"))</x:f>
        <x:v>☐</x:v>
      </x:c>
      <x:c r="G9" s="84" t="str">
        <x:v>自动：完成下方 Agent 必学/复习课程后变 ✓（选学不阻塞）</x:v>
      </x:c>
    </x:row>
    <x:row r="10" ht="40" customHeight="1">
      <x:c r="A10" s="84" t="n">
        <x:v>3</x:v>
      </x:c>
      <x:c r="B10" s="84" t="str">
        <x:v>Lab</x:v>
      </x:c>
      <x:c r="C10" s="84" t="str">
        <x:v>注入 3 个故障</x:v>
      </x:c>
      <x:c r="D10" s="84" t="str">
        <x:v>worker crash / duplicate / LLM timeout</x:v>
      </x:c>
      <x:c r="E10" s="106" t="n">
        <x:v>0.75</x:v>
      </x:c>
      <x:c r="F10" s="247" t="str">
        <x:f>IF(COUNTIF($A$29:$A$31,"Lab")=0,"☐",IF(COUNTIFS($A$29:$A$31,"Lab",$G$29:$G$31,"✓")=COUNTIF($A$29:$A$31,"Lab"),"✓","☐"))</x:f>
        <x:v>☐</x:v>
      </x:c>
      <x:c r="G10" s="84" t="str">
        <x:v>自动：完成下方 Lab Notebook 行后变 ✓</x:v>
      </x:c>
    </x:row>
    <x:row r="11" ht="40" customHeight="1">
      <x:c r="A11" s="84" t="n">
        <x:v>4</x:v>
      </x:c>
      <x:c r="B11" s="84" t="str">
        <x:v>ChatBI</x:v>
      </x:c>
      <x:c r="C11" s="84" t="str">
        <x:v>完成 Demo + 架构图 + README</x:v>
      </x:c>
      <x:c r="D11" s="84" t="str">
        <x:v>从问题到图表/答案端到端可演示</x:v>
      </x:c>
      <x:c r="E11" s="106" t="n">
        <x:v>1.75</x:v>
      </x:c>
      <x:c r="F11" s="248" t="str">
        <x:v>☐</x:v>
      </x:c>
      <x:c r="G11" s="84" t="str">
        <x:v>手动：项目成果达到验收后勾 ✓</x:v>
      </x:c>
    </x:row>
    <x:row r="12" ht="40" customHeight="1">
      <x:c r="A12" s="84" t="n">
        <x:v>5</x:v>
      </x:c>
      <x:c r="B12" s="84" t="str">
        <x:v>复盘</x:v>
      </x:c>
      <x:c r="C12" s="84" t="str">
        <x:v>准备 10 分钟 Interview Story</x:v>
      </x:c>
      <x:c r="D12" s="84" t="str">
        <x:v>不用 AI 可讲 trade-off 与 failure mode</x:v>
      </x:c>
      <x:c r="E12" s="106" t="n">
        <x:v>0.5</x:v>
      </x:c>
      <x:c r="F12" s="248" t="str">
        <x:v>☐</x:v>
      </x:c>
      <x:c r="G12" s="84" t="str">
        <x:v>手动：复盘/讲解达到验收后勾 ✓</x:v>
      </x:c>
    </x:row>
    <x:row r="13">
      <x:c r="A13" s="80"/>
      <x:c r="B13" s="80"/>
      <x:c r="C13" s="80"/>
      <x:c r="D13" s="80"/>
      <x:c r="E13" s="80"/>
      <x:c r="F13" s="80"/>
      <x:c r="G13" s="80"/>
    </x:row>
    <x:row r="14">
      <x:c r="A14" s="80"/>
      <x:c r="B14" s="80"/>
      <x:c r="C14" s="80"/>
      <x:c r="D14" s="79" t="str">
        <x:v>合计</x:v>
      </x:c>
      <x:c r="E14" s="105" t="n">
        <x:f>SUM(E8:E12)</x:f>
        <x:v>4</x:v>
      </x:c>
      <x:c r="F14" s="80"/>
      <x:c r="G14" s="80"/>
    </x:row>
    <x:row r="16">
      <x:c r="A16" s="101" t="str">
        <x:v>本周验收</x:v>
      </x:c>
      <x:c r="B16" s="101"/>
      <x:c r="C16" s="101"/>
      <x:c r="D16" s="101"/>
      <x:c r="E16" s="101"/>
      <x:c r="F16" s="101"/>
      <x:c r="G16" s="101"/>
    </x:row>
    <x:row r="17" ht="32" customHeight="1">
      <x:c r="A17" s="24" t="str">
        <x:v>我能在 10 分钟内完整讲清：系统怎么设计、为什么这样设计、哪里会坏、怎么验证。</x:v>
      </x:c>
      <x:c r="B17" s="24"/>
      <x:c r="C17" s="24"/>
      <x:c r="D17" s="24"/>
      <x:c r="E17" s="24"/>
      <x:c r="F17" s="24"/>
      <x:c r="G17" s="24"/>
    </x:row>
    <x:row r="18">
      <x:c r="A18" s="24"/>
      <x:c r="B18" s="24"/>
      <x:c r="C18" s="24"/>
      <x:c r="D18" s="24"/>
      <x:c r="E18" s="24"/>
      <x:c r="F18" s="24"/>
      <x:c r="G18" s="24"/>
    </x:row>
    <x:row r="19">
      <x:c r="A19" s="107" t="str">
        <x:v>本周不做</x:v>
      </x:c>
      <x:c r="B19" s="107"/>
      <x:c r="C19" s="107"/>
      <x:c r="D19" s="107"/>
      <x:c r="E19" s="107"/>
      <x:c r="F19" s="107"/>
      <x:c r="G19" s="107"/>
    </x:row>
    <x:row r="20" ht="28" customHeight="1">
      <x:c r="A20" s="24" t="str">
        <x:v>不加新框架；只收口、修问题、总结。</x:v>
      </x:c>
      <x:c r="B20" s="24"/>
      <x:c r="C20" s="24"/>
      <x:c r="D20" s="24"/>
      <x:c r="E20" s="24"/>
      <x:c r="F20" s="24"/>
      <x:c r="G20" s="24"/>
    </x:row>
    <x:row r="22">
      <x:c r="A22" s="78" t="str">
        <x:v>周末复盘（最多5分钟）</x:v>
      </x:c>
      <x:c r="B22" s="78" t="str"/>
      <x:c r="C22" s="78"/>
      <x:c r="D22" s="78"/>
      <x:c r="E22" s="78"/>
      <x:c r="F22" s="78"/>
      <x:c r="G22" s="78"/>
    </x:row>
    <x:row r="23" ht="30" customHeight="1">
      <x:c r="A23" s="108" t="str">
        <x:v>我本周真正学会了</x:v>
      </x:c>
      <x:c r="B23" s="84" t="str"/>
      <x:c r="C23" s="84"/>
      <x:c r="D23" s="84"/>
      <x:c r="E23" s="84"/>
      <x:c r="F23" s="84"/>
      <x:c r="G23" s="84"/>
    </x:row>
    <x:row r="24" ht="30" customHeight="1">
      <x:c r="A24" s="108" t="str">
        <x:v>还不清楚的是</x:v>
      </x:c>
      <x:c r="B24" s="84" t="str"/>
      <x:c r="C24" s="84"/>
      <x:c r="D24" s="84"/>
      <x:c r="E24" s="84"/>
      <x:c r="F24" s="84"/>
      <x:c r="G24" s="84"/>
    </x:row>
    <x:row r="25" ht="30" customHeight="1">
      <x:c r="A25" s="108" t="str">
        <x:v>下周不要忘记</x:v>
      </x:c>
      <x:c r="B25" s="84" t="str"/>
      <x:c r="C25" s="84"/>
      <x:c r="D25" s="84"/>
      <x:c r="E25" s="84"/>
      <x:c r="F25" s="84"/>
      <x:c r="G25" s="84"/>
    </x:row>
    <x:row r="27" ht="34" customHeight="1">
      <x:c r="A27" s="207" t="str">
        <x:v>本周课程映射｜Chapter/Section 只用于定位；实际只学“具体小节”。只有范围写“全章”才需要整章学习。</x:v>
      </x:c>
      <x:c r="B27" s="207"/>
      <x:c r="C27" s="207"/>
      <x:c r="D27" s="207"/>
      <x:c r="E27" s="207"/>
      <x:c r="F27" s="207"/>
      <x:c r="G27" s="207"/>
    </x:row>
    <x:row r="28" ht="48" customHeight="1">
      <x:c r="A28" s="209" t="str">
        <x:v>Track</x:v>
      </x:c>
      <x:c r="B28" s="209" t="str">
        <x:v>课程</x:v>
      </x:c>
      <x:c r="C28" s="209" t="str">
        <x:v>Section / Chapter</x:v>
      </x:c>
      <x:c r="D28" s="209" t="str">
        <x:v>具体小节（实际要学）</x:v>
      </x:c>
      <x:c r="E28" s="209" t="str">
        <x:v>范围</x:v>
      </x:c>
      <x:c r="F28" s="209" t="str">
        <x:v>优先级</x:v>
      </x:c>
      <x:c r="G28" s="209" t="str">
        <x:v>完成</x:v>
      </x:c>
    </x:row>
    <x:row r="29" ht="48" customHeight="1">
      <x:c r="A29" s="126" t="str">
        <x:v>Backend</x:v>
      </x:c>
      <x:c r="B29" s="84" t="str">
        <x:v>不新增课程</x:v>
      </x:c>
      <x:c r="C29" s="84" t="str">
        <x:v>System Design Review</x:v>
      </x:c>
      <x:c r="D29" s="84" t="str">
        <x:v>回看 Async；PostgreSQL；Transaction；Queue；Testing；Docker 笔记</x:v>
      </x:c>
      <x:c r="E29" s="84" t="str">
        <x:v>复习</x:v>
      </x:c>
      <x:c r="F29" s="84" t="str">
        <x:v>必做</x:v>
      </x:c>
      <x:c r="G29" s="84" t="str">
        <x:v>☐</x:v>
      </x:c>
    </x:row>
    <x:row r="30" ht="48" customHeight="1">
      <x:c r="A30" s="126" t="str">
        <x:v>Agent</x:v>
      </x:c>
      <x:c r="B30" s="84" t="str">
        <x:v>不新增课程</x:v>
      </x:c>
      <x:c r="C30" s="84" t="str">
        <x:v>Agent Architecture Review</x:v>
      </x:c>
      <x:c r="D30" s="84" t="str">
        <x:v>回看 Search Agent；Under the Hood；LangGraph Persistence；MCP；Tracing</x:v>
      </x:c>
      <x:c r="E30" s="84" t="str">
        <x:v>复习</x:v>
      </x:c>
      <x:c r="F30" s="84" t="str">
        <x:v>必做</x:v>
      </x:c>
      <x:c r="G30" s="84" t="str">
        <x:v>☐</x:v>
      </x:c>
    </x:row>
    <x:row r="31" ht="62" customHeight="1">
      <x:c r="A31" s="84" t="str">
        <x:v>Lab</x:v>
      </x:c>
      <x:c r="B31" s="84" t="str">
        <x:v>配套 Teaching Notebook v5（Excel 任务 1:1 对照 + 答案）</x:v>
      </x:c>
      <x:c r="C31" s="84" t="str">
        <x:v>W12_Capstone_System_Design_TEACHING_v5.ipynb</x:v>
      </x:c>
      <x:c r="D31" s="84" t="str">
        <x:v>Excel 5 个任务均在 Notebook 开头 1:1 对照；Task 3-5 有参考答案/参考实现；Task 1-2 用 Checkpoint/面试题验收。</x:v>
      </x:c>
      <x:c r="E31" s="84" t="str">
        <x:v>全部完成</x:v>
      </x:c>
      <x:c r="F31" s="84" t="str">
        <x:v>必做</x:v>
      </x:c>
      <x:c r="G31" s="84" t="str">
        <x:v>☐</x:v>
      </x:c>
    </x:row>
    <x:row r="32">
      <x:c r="A32" s="164"/>
      <x:c r="B32" s="164"/>
      <x:c r="C32" s="164"/>
      <x:c r="D32" s="164"/>
      <x:c r="E32" s="164"/>
      <x:c r="F32" s="164"/>
      <x:c r="G32" s="164"/>
    </x:row>
    <x:row r="33" ht="48" customHeight="1">
      <x:c r="A33" s="168"/>
      <x:c r="B33" s="84"/>
      <x:c r="C33" s="84"/>
      <x:c r="D33" s="84"/>
      <x:c r="E33" s="84"/>
      <x:c r="F33" s="84"/>
      <x:c r="G33" s="84"/>
    </x:row>
    <x:row r="34" ht="48" customHeight="1">
      <x:c r="A34" s="168"/>
      <x:c r="B34" s="84"/>
      <x:c r="C34" s="84"/>
      <x:c r="D34" s="84"/>
      <x:c r="E34" s="84"/>
      <x:c r="F34" s="84"/>
      <x:c r="G34" s="84"/>
    </x:row>
  </x:sheetData>
  <x:mergeCells>
    <x:mergeCell ref="A1:G1"/>
    <x:mergeCell ref="B3:D3"/>
    <x:mergeCell ref="A5:G5"/>
    <x:mergeCell ref="A16:G16"/>
    <x:mergeCell ref="A17:G17"/>
    <x:mergeCell ref="A19:G19"/>
    <x:mergeCell ref="A20:G20"/>
    <x:mergeCell ref="B22:G22"/>
    <x:mergeCell ref="B23:G23"/>
    <x:mergeCell ref="B24:G24"/>
    <x:mergeCell ref="B25:G25"/>
    <x:mergeCell ref="A27:G27"/>
  </x:mergeCells>
  <x:conditionalFormatting sqref="A8:G12">
    <x:cfRule type="expression" dxfId="15" priority="2">
      <x:formula>$F8="✓"</x:formula>
    </x:cfRule>
  </x:conditionalFormatting>
  <x:conditionalFormatting sqref="A29:G31">
    <x:cfRule type="expression" dxfId="70" priority="3">
      <x:formula>$G29="✓"</x:formula>
    </x:cfRule>
  </x:conditionalFormatting>
  <x:conditionalFormatting sqref="F29:F31">
    <x:cfRule type="expression" dxfId="71" priority="4">
      <x:formula>$F29="必学"</x:formula>
    </x:cfRule>
    <x:cfRule type="expression" dxfId="72" priority="5">
      <x:formula>OR($F29="快看",$F29="快看但必须覆盖")</x:formula>
    </x:cfRule>
    <x:cfRule type="expression" dxfId="73" priority="6">
      <x:formula>$F29="选学"</x:formula>
    </x:cfRule>
  </x:conditionalFormatting>
  <x:conditionalFormatting sqref="G3:G3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{C3F3B52F-805C-0010-5F6C-52FF621895CC}</x14:id>
        </x:ext>
      </x:extLst>
    </x:cfRule>
  </x:conditionalFormatting>
  <x:conditionalFormatting sqref="F8:F12">
    <x:cfRule type="expression" dxfId="85" priority="8">
      <x:formula>$F8="✓"</x:formula>
    </x:cfRule>
  </x:conditionalFormatting>
  <x:dataValidations count="3">
    <x:dataValidation type="list" sqref="F8:F12">
      <x:formula1>"☐,✓"</x:formula1>
    </x:dataValidation>
    <x:dataValidation type="list" sqref="G29:G31">
      <x:formula1>"☐,✓"</x:formula1>
    </x:dataValidation>
    <x:dataValidation type="list" sqref="F11:F12">
      <x:formula1>"☐,✓"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C3F3B52F-805C-0010-5F6C-52FF621895CC}">
            <x14:dataBar gradient="1">
              <x14:cfvo type="min"/>
              <x14:cfvo type="max"/>
              <x14:fillColor rgb="FFA02B93"/>
            </x14:dataBar>
          </x14:cfRule>
          <xm:sqref>G3:G3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4" hidden="0" customWidth="1"/>
    <x:col min="4" max="4" width="30" hidden="0" customWidth="1"/>
    <x:col min="5" max="5" width="35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143" t="str">
        <x:v>12周后你应该达到的能力｜学习要点总览</x:v>
      </x:c>
      <x:c r="B1" s="143"/>
      <x:c r="C1" s="143"/>
      <x:c r="D1" s="143"/>
      <x:c r="E1" s="143"/>
      <x:c r="F1" s="143"/>
      <x:c r="G1" s="143"/>
      <x:c r="H1" s="143"/>
    </x:row>
    <x:row r="2">
      <x:c r="A2" s="143"/>
      <x:c r="B2" s="143"/>
      <x:c r="C2" s="143"/>
      <x:c r="D2" s="143"/>
      <x:c r="E2" s="143"/>
      <x:c r="F2" s="143"/>
      <x:c r="G2" s="143"/>
      <x:c r="H2" s="143"/>
    </x:row>
    <x:row r="4">
      <x:c r="A4" s="128" t="str">
        <x:v>能力域</x:v>
      </x:c>
      <x:c r="B4" s="128" t="str">
        <x:v>12周目标</x:v>
      </x:c>
      <x:c r="C4" s="128" t="str">
        <x:v>你要会什么</x:v>
      </x:c>
      <x:c r="D4" s="128" t="str">
        <x:v>不要求达到</x:v>
      </x:c>
      <x:c r="E4" s="128" t="str">
        <x:v>验证方式</x:v>
      </x:c>
      <x:c r="F4" s="128" t="str">
        <x:v>建议深度</x:v>
      </x:c>
      <x:c r="G4" s="128" t="str">
        <x:v>对应周</x:v>
      </x:c>
      <x:c r="H4" s="128" t="str">
        <x:v>备注</x:v>
      </x:c>
    </x:row>
    <x:row r="5" ht="50" customHeight="1">
      <x:c r="A5" s="84" t="str">
        <x:v>Backend API</x:v>
      </x:c>
      <x:c r="B5" s="84" t="str">
        <x:v>L2-L3</x:v>
      </x:c>
      <x:c r="C5" s="84" t="str">
        <x:v>HTTP request lifecycle、FastAPI 分层、Pydantic、错误处理</x:v>
      </x:c>
      <x:c r="D5" s="84" t="str">
        <x:v>大型微服务治理</x:v>
      </x:c>
      <x:c r="E5" s="84" t="str">
        <x:v>能自己画请求链路并 review AI 代码</x:v>
      </x:c>
      <x:c r="F5" s="84" t="str">
        <x:v>中等</x:v>
      </x:c>
      <x:c r="G5" s="84" t="str">
        <x:v>W1-W2</x:v>
      </x:c>
      <x:c r="H5" s="84" t="str"/>
    </x:row>
    <x:row r="6" ht="50" customHeight="1">
      <x:c r="A6" s="84" t="str">
        <x:v>Python 并发</x:v>
      </x:c>
      <x:c r="B6" s="84" t="str">
        <x:v>L2-L3</x:v>
      </x:c>
      <x:c r="C6" s="84" t="str">
        <x:v>async/await、TaskGroup、Semaphore、timeout；知道 Thread/Process 边界</x:v>
      </x:c>
      <x:c r="D6" s="84" t="str">
        <x:v>解释器/GIL 内核细节</x:v>
      </x:c>
      <x:c r="E6" s="84" t="str">
        <x:v>能解释 IO-bound vs CPU-bound 并做基准实验</x:v>
      </x:c>
      <x:c r="F6" s="84" t="str">
        <x:v>中等</x:v>
      </x:c>
      <x:c r="G6" s="84" t="str">
        <x:v>W3</x:v>
      </x:c>
      <x:c r="H6" s="84" t="str"/>
    </x:row>
    <x:row r="7" ht="50" customHeight="1">
      <x:c r="A7" s="84" t="str">
        <x:v>Database</x:v>
      </x:c>
      <x:c r="B7" s="84" t="str">
        <x:v>L2-L3</x:v>
      </x:c>
      <x:c r="C7" s="84" t="str">
        <x:v>schema、async session、migration、transaction、isolation、lock、pool</x:v>
      </x:c>
      <x:c r="D7" s="84" t="str">
        <x:v>DBA/存储引擎深度</x:v>
      </x:c>
      <x:c r="E7" s="84" t="str">
        <x:v>能处理 lost update / pool exhaustion 的设计题</x:v>
      </x:c>
      <x:c r="F7" s="84" t="str">
        <x:v>中等偏深</x:v>
      </x:c>
      <x:c r="G7" s="84" t="str">
        <x:v>W4-W5</x:v>
      </x:c>
      <x:c r="H7" s="84" t="str"/>
    </x:row>
    <x:row r="8" ht="50" customHeight="1">
      <x:c r="A8" s="84" t="str">
        <x:v>Agent</x:v>
      </x:c>
      <x:c r="B8" s="84" t="str">
        <x:v>L2-L3</x:v>
      </x:c>
      <x:c r="C8" s="84" t="str">
        <x:v>Agent loop、tool calling、state、checkpoint、HITL、MCP</x:v>
      </x:c>
      <x:c r="D8" s="84" t="str">
        <x:v>多 Agent 花哨框架大全</x:v>
      </x:c>
      <x:c r="E8" s="84" t="str">
        <x:v>不靠框架名解释 Agent 运行机制</x:v>
      </x:c>
      <x:c r="F8" s="84" t="str">
        <x:v>中等偏深</x:v>
      </x:c>
      <x:c r="G8" s="84" t="str">
        <x:v>W1-W10</x:v>
      </x:c>
      <x:c r="H8" s="84" t="str"/>
    </x:row>
    <x:row r="9" ht="50" customHeight="1">
      <x:c r="A9" s="84" t="str">
        <x:v>ChatBI</x:v>
      </x:c>
      <x:c r="B9" s="84" t="str">
        <x:v>L3</x:v>
      </x:c>
      <x:c r="C9" s="84" t="str">
        <x:v>NL→Intent/Plan→SQL→Result→Chart/Answer 的受控链路</x:v>
      </x:c>
      <x:c r="D9" s="84" t="str">
        <x:v>完整商业 BI 产品</x:v>
      </x:c>
      <x:c r="E9" s="84" t="str">
        <x:v>至少 10-20 条 golden case 可演示</x:v>
      </x:c>
      <x:c r="F9" s="84" t="str">
        <x:v>项目级</x:v>
      </x:c>
      <x:c r="G9" s="84" t="str">
        <x:v>W1-W12</x:v>
      </x:c>
      <x:c r="H9" s="84" t="str"/>
    </x:row>
    <x:row r="10" ht="50" customHeight="1">
      <x:c r="A10" s="84" t="str">
        <x:v>Reliability</x:v>
      </x:c>
      <x:c r="B10" s="84" t="str">
        <x:v>L2-L3</x:v>
      </x:c>
      <x:c r="C10" s="84" t="str">
        <x:v>retry、backoff、idempotency、worker crash、duplicate request</x:v>
      </x:c>
      <x:c r="D10" s="84" t="str">
        <x:v>多 region 容灾</x:v>
      </x:c>
      <x:c r="E10" s="84" t="str">
        <x:v>能解释 timeout ≠ failure</x:v>
      </x:c>
      <x:c r="F10" s="84" t="str">
        <x:v>中等</x:v>
      </x:c>
      <x:c r="G10" s="84" t="str">
        <x:v>W8-W9</x:v>
      </x:c>
      <x:c r="H10" s="84" t="str"/>
    </x:row>
    <x:row r="11" ht="50" customHeight="1">
      <x:c r="A11" s="84" t="str">
        <x:v>Observability</x:v>
      </x:c>
      <x:c r="B11" s="84" t="str">
        <x:v>L2</x:v>
      </x:c>
      <x:c r="C11" s="84" t="str">
        <x:v>structured log、trace_id、latency breakdown、基础 metrics</x:v>
      </x:c>
      <x:c r="D11" s="84" t="str">
        <x:v>完整 SRE 平台</x:v>
      </x:c>
      <x:c r="E11" s="84" t="str">
        <x:v>能定位一次失败/慢请求</x:v>
      </x:c>
      <x:c r="F11" s="84" t="str">
        <x:v>基础-中等</x:v>
      </x:c>
      <x:c r="G11" s="84" t="str">
        <x:v>W10</x:v>
      </x:c>
      <x:c r="H11" s="84" t="str"/>
    </x:row>
    <x:row r="12" ht="50" customHeight="1">
      <x:c r="A12" s="84" t="str">
        <x:v>Performance</x:v>
      </x:c>
      <x:c r="B12" s="84" t="str">
        <x:v>L2</x:v>
      </x:c>
      <x:c r="C12" s="84" t="str">
        <x:v>p50/p95、throughput、pool、简单 load test</x:v>
      </x:c>
      <x:c r="D12" s="84" t="str">
        <x:v>极致性能调优</x:v>
      </x:c>
      <x:c r="E12" s="84" t="str">
        <x:v>能用数据说明瓶颈</x:v>
      </x:c>
      <x:c r="F12" s="84" t="str">
        <x:v>基础-中等</x:v>
      </x:c>
      <x:c r="G12" s="84" t="str">
        <x:v>W11</x:v>
      </x:c>
      <x:c r="H12" s="84" t="str"/>
    </x:row>
    <x:row r="13" ht="50" customHeight="1">
      <x:c r="A13" s="84" t="str">
        <x:v>System Design</x:v>
      </x:c>
      <x:c r="B13" s="84" t="str">
        <x:v>L2-L3</x:v>
      </x:c>
      <x:c r="C13" s="84" t="str">
        <x:v>API/DB/queue/cache/agent/reliability/eval 的 trade-off</x:v>
      </x:c>
      <x:c r="D13" s="84" t="str">
        <x:v>高级分布式系统专家</x:v>
      </x:c>
      <x:c r="E13" s="84" t="str">
        <x:v>10分钟独立讲清系统</x:v>
      </x:c>
      <x:c r="F13" s="84" t="str">
        <x:v>中等</x:v>
      </x:c>
      <x:c r="G13" s="84" t="str">
        <x:v>W12</x:v>
      </x:c>
      <x:c r="H13" s="84" t="str"/>
    </x:row>
    <x:row r="16">
      <x:c r="A16" s="147" t="str">
        <x:v>时间策略：4h 是“保底”，不是“上限”</x:v>
      </x:c>
      <x:c r="B16" s="147"/>
      <x:c r="C16" s="147"/>
      <x:c r="D16" s="147"/>
      <x:c r="E16" s="147"/>
      <x:c r="F16" s="147"/>
      <x:c r="G16" s="147"/>
      <x:c r="H16" s="147"/>
    </x:row>
    <x:row r="17">
      <x:c r="A17" s="84" t="str">
        <x:v>类型</x:v>
      </x:c>
      <x:c r="B17" s="84" t="str">
        <x:v>建议</x:v>
      </x:c>
      <x:c r="C17" s="84" t="str">
        <x:v>适用周</x:v>
      </x:c>
      <x:c r="D17" s="84" t="str">
        <x:v>规则</x:v>
      </x:c>
      <x:c r="E17" s="24" t="str"/>
      <x:c r="F17" s="24" t="str"/>
      <x:c r="G17" s="24" t="str"/>
      <x:c r="H17" s="24" t="str"/>
    </x:row>
    <x:row r="18">
      <x:c r="A18" s="84" t="str">
        <x:v>轻周</x:v>
      </x:c>
      <x:c r="B18" s="84" t="str">
        <x:v>4h</x:v>
      </x:c>
      <x:c r="C18" s="84" t="str">
        <x:v>W1/W2/W7/W12</x:v>
      </x:c>
      <x:c r="D18" s="84" t="str">
        <x:v>完成即可，不额外加课</x:v>
      </x:c>
      <x:c r="E18" s="24" t="str"/>
      <x:c r="F18" s="24" t="str"/>
      <x:c r="G18" s="24" t="str"/>
      <x:c r="H18" s="24" t="str"/>
    </x:row>
    <x:row r="19">
      <x:c r="A19" s="84" t="str">
        <x:v>中周</x:v>
      </x:c>
      <x:c r="B19" s="84" t="str">
        <x:v>5h</x:v>
      </x:c>
      <x:c r="C19" s="84" t="str">
        <x:v>W3/W4/W8-W11</x:v>
      </x:c>
      <x:c r="D19" s="84" t="str">
        <x:v>4h主任务 + 1h深入实验</x:v>
      </x:c>
      <x:c r="E19" s="24" t="str"/>
      <x:c r="F19" s="24" t="str"/>
      <x:c r="G19" s="24" t="str"/>
      <x:c r="H19" s="24" t="str"/>
    </x:row>
    <x:row r="20">
      <x:c r="A20" s="84" t="str">
        <x:v>重周</x:v>
      </x:c>
      <x:c r="B20" s="84" t="str">
        <x:v>6h</x:v>
      </x:c>
      <x:c r="C20" s="84" t="str">
        <x:v>W5/W6</x:v>
      </x:c>
      <x:c r="D20" s="84" t="str">
        <x:v>4h保底 + 2h数据库/问数深挖</x:v>
      </x:c>
      <x:c r="E20" s="24" t="str"/>
      <x:c r="F20" s="24" t="str"/>
      <x:c r="G20" s="24" t="str"/>
      <x:c r="H20" s="24" t="str"/>
    </x:row>
  </x:sheetData>
  <x:mergeCells>
    <x:mergeCell ref="A1:H2"/>
    <x:mergeCell ref="A16:H16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8" hidden="0" customWidth="1"/>
    <x:col min="4" max="4" width="14" hidden="0" customWidth="1"/>
    <x:col min="5" max="5" width="32" hidden="0" customWidth="1"/>
    <x:col min="6" max="6" width="34" hidden="0" customWidth="1"/>
    <x:col min="7" max="7" width="19" hidden="0" customWidth="1"/>
    <x:col min="8" max="8" width="38" hidden="0" customWidth="1"/>
    <x:col min="9" max="9" width="24" hidden="0" customWidth="1"/>
  </x:cols>
  <x:sheetData>
    <x:row r="1">
      <x:c r="A1" s="214" t="str">
        <x:v>本表不再使用。精确课程映射已经直接合并到 W01-W12 每周子表，请按每周子表执行。</x:v>
      </x:c>
      <x:c r="B1" s="214"/>
      <x:c r="C1" s="214"/>
      <x:c r="D1" s="214"/>
      <x:c r="E1" s="214"/>
      <x:c r="F1" s="214"/>
      <x:c r="G1" s="214"/>
      <x:c r="H1" s="214"/>
      <x:c r="I1" s="214"/>
    </x:row>
    <x:row r="2">
      <x:c r="A2" s="214"/>
      <x:c r="B2" s="214"/>
      <x:c r="C2" s="214"/>
      <x:c r="D2" s="214"/>
      <x:c r="E2" s="214"/>
      <x:c r="F2" s="214"/>
      <x:c r="G2" s="214"/>
      <x:c r="H2" s="214"/>
      <x:c r="I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</x:row>
    <x:row r="5">
      <x:c r="A5" s="162"/>
      <x:c r="B5" s="162"/>
      <x:c r="C5" s="162"/>
      <x:c r="D5" s="162"/>
      <x:c r="E5" s="162"/>
      <x:c r="F5" s="162"/>
      <x:c r="G5" s="162"/>
      <x:c r="H5" s="162"/>
      <x:c r="I5" s="162"/>
    </x:row>
    <x:row r="6" ht="44" customHeight="1">
      <x:c r="A6" s="84"/>
      <x:c r="B6" s="84"/>
      <x:c r="C6" s="84"/>
      <x:c r="D6" s="84"/>
      <x:c r="E6" s="84"/>
      <x:c r="F6" s="84"/>
      <x:c r="G6" s="84"/>
      <x:c r="H6" s="84"/>
      <x:c r="I6" s="84"/>
    </x:row>
    <x:row r="7" ht="44" customHeight="1">
      <x:c r="A7" s="84"/>
      <x:c r="B7" s="84"/>
      <x:c r="C7" s="84"/>
      <x:c r="D7" s="84"/>
      <x:c r="E7" s="84"/>
      <x:c r="F7" s="84"/>
      <x:c r="G7" s="84"/>
      <x:c r="H7" s="84"/>
      <x:c r="I7" s="84"/>
    </x:row>
    <x:row r="8" ht="44" customHeight="1">
      <x:c r="A8" s="84"/>
      <x:c r="B8" s="84"/>
      <x:c r="C8" s="84"/>
      <x:c r="D8" s="84"/>
      <x:c r="E8" s="84"/>
      <x:c r="F8" s="84"/>
      <x:c r="G8" s="84"/>
      <x:c r="H8" s="84"/>
      <x:c r="I8" s="84"/>
    </x:row>
    <x:row r="9" ht="44" customHeight="1">
      <x:c r="A9" s="84"/>
      <x:c r="B9" s="84"/>
      <x:c r="C9" s="84"/>
      <x:c r="D9" s="84"/>
      <x:c r="E9" s="84"/>
      <x:c r="F9" s="84"/>
      <x:c r="G9" s="84"/>
      <x:c r="H9" s="84"/>
      <x:c r="I9" s="84"/>
    </x:row>
    <x:row r="10" ht="44" customHeight="1">
      <x:c r="A10" s="84"/>
      <x:c r="B10" s="84"/>
      <x:c r="C10" s="84"/>
      <x:c r="D10" s="84"/>
      <x:c r="E10" s="84"/>
      <x:c r="F10" s="84"/>
      <x:c r="G10" s="84"/>
      <x:c r="H10" s="84"/>
      <x:c r="I10" s="84"/>
    </x:row>
    <x:row r="11" ht="44" customHeight="1">
      <x:c r="A11" s="84"/>
      <x:c r="B11" s="84"/>
      <x:c r="C11" s="84"/>
      <x:c r="D11" s="84"/>
      <x:c r="E11" s="84"/>
      <x:c r="F11" s="84"/>
      <x:c r="G11" s="84"/>
      <x:c r="H11" s="84"/>
      <x:c r="I11" s="84"/>
    </x:row>
    <x:row r="12" ht="44" customHeight="1">
      <x:c r="A12" s="84"/>
      <x:c r="B12" s="84"/>
      <x:c r="C12" s="84"/>
      <x:c r="D12" s="84"/>
      <x:c r="E12" s="84"/>
      <x:c r="F12" s="84"/>
      <x:c r="G12" s="84"/>
      <x:c r="H12" s="84"/>
      <x:c r="I12" s="84"/>
    </x:row>
    <x:row r="13" ht="44" customHeight="1">
      <x:c r="A13" s="84"/>
      <x:c r="B13" s="84"/>
      <x:c r="C13" s="84"/>
      <x:c r="D13" s="84"/>
      <x:c r="E13" s="84"/>
      <x:c r="F13" s="84"/>
      <x:c r="G13" s="84"/>
      <x:c r="H13" s="84"/>
      <x:c r="I13" s="84"/>
    </x:row>
    <x:row r="14" ht="44" customHeight="1">
      <x:c r="A14" s="84"/>
      <x:c r="B14" s="84"/>
      <x:c r="C14" s="84"/>
      <x:c r="D14" s="84"/>
      <x:c r="E14" s="84"/>
      <x:c r="F14" s="84"/>
      <x:c r="G14" s="84"/>
      <x:c r="H14" s="84"/>
      <x:c r="I14" s="84"/>
    </x:row>
    <x:row r="15" ht="44" customHeight="1">
      <x:c r="A15" s="84"/>
      <x:c r="B15" s="84"/>
      <x:c r="C15" s="84"/>
      <x:c r="D15" s="84"/>
      <x:c r="E15" s="84"/>
      <x:c r="F15" s="84"/>
      <x:c r="G15" s="84"/>
      <x:c r="H15" s="84"/>
      <x:c r="I15" s="84"/>
    </x:row>
    <x:row r="16" ht="44" customHeight="1">
      <x:c r="A16" s="84"/>
      <x:c r="B16" s="84"/>
      <x:c r="C16" s="84"/>
      <x:c r="D16" s="84"/>
      <x:c r="E16" s="84"/>
      <x:c r="F16" s="84"/>
      <x:c r="G16" s="84"/>
      <x:c r="H16" s="84"/>
      <x:c r="I16" s="84"/>
    </x:row>
    <x:row r="17" ht="44" customHeight="1">
      <x:c r="A17" s="84"/>
      <x:c r="B17" s="84"/>
      <x:c r="C17" s="84"/>
      <x:c r="D17" s="84"/>
      <x:c r="E17" s="84"/>
      <x:c r="F17" s="84"/>
      <x:c r="G17" s="84"/>
      <x:c r="H17" s="84"/>
      <x:c r="I17" s="84"/>
    </x:row>
    <x:row r="18" ht="44" customHeight="1">
      <x:c r="A18" s="84"/>
      <x:c r="B18" s="84"/>
      <x:c r="C18" s="84"/>
      <x:c r="D18" s="84"/>
      <x:c r="E18" s="84"/>
      <x:c r="F18" s="84"/>
      <x:c r="G18" s="84"/>
      <x:c r="H18" s="84"/>
      <x:c r="I18" s="84"/>
    </x:row>
    <x:row r="19" ht="44" customHeight="1">
      <x:c r="A19" s="84"/>
      <x:c r="B19" s="84"/>
      <x:c r="C19" s="84"/>
      <x:c r="D19" s="84"/>
      <x:c r="E19" s="84"/>
      <x:c r="F19" s="84"/>
      <x:c r="G19" s="84"/>
      <x:c r="H19" s="84"/>
      <x:c r="I19" s="84"/>
    </x:row>
    <x:row r="20" ht="44" customHeight="1">
      <x:c r="A20" s="84"/>
      <x:c r="B20" s="84"/>
      <x:c r="C20" s="84"/>
      <x:c r="D20" s="84"/>
      <x:c r="E20" s="84"/>
      <x:c r="F20" s="84"/>
      <x:c r="G20" s="84"/>
      <x:c r="H20" s="84"/>
      <x:c r="I20" s="84"/>
    </x:row>
    <x:row r="21" ht="44" customHeight="1">
      <x:c r="A21" s="84"/>
      <x:c r="B21" s="84"/>
      <x:c r="C21" s="84"/>
      <x:c r="D21" s="84"/>
      <x:c r="E21" s="84"/>
      <x:c r="F21" s="84"/>
      <x:c r="G21" s="84"/>
      <x:c r="H21" s="84"/>
      <x:c r="I21" s="84"/>
    </x:row>
    <x:row r="22" ht="44" customHeight="1">
      <x:c r="A22" s="84"/>
      <x:c r="B22" s="84"/>
      <x:c r="C22" s="84"/>
      <x:c r="D22" s="84"/>
      <x:c r="E22" s="84"/>
      <x:c r="F22" s="84"/>
      <x:c r="G22" s="84"/>
      <x:c r="H22" s="84"/>
      <x:c r="I22" s="84"/>
    </x:row>
    <x:row r="23" ht="44" customHeight="1">
      <x:c r="A23" s="84"/>
      <x:c r="B23" s="84"/>
      <x:c r="C23" s="84"/>
      <x:c r="D23" s="84"/>
      <x:c r="E23" s="84"/>
      <x:c r="F23" s="84"/>
      <x:c r="G23" s="84"/>
      <x:c r="H23" s="84"/>
      <x:c r="I23" s="84"/>
    </x:row>
    <x:row r="24" ht="44" customHeight="1">
      <x:c r="A24" s="84"/>
      <x:c r="B24" s="84"/>
      <x:c r="C24" s="84"/>
      <x:c r="D24" s="84"/>
      <x:c r="E24" s="84"/>
      <x:c r="F24" s="84"/>
      <x:c r="G24" s="84"/>
      <x:c r="H24" s="84"/>
      <x:c r="I24" s="84"/>
    </x:row>
    <x:row r="25" ht="44" customHeight="1">
      <x:c r="A25" s="84"/>
      <x:c r="B25" s="84"/>
      <x:c r="C25" s="84"/>
      <x:c r="D25" s="84"/>
      <x:c r="E25" s="84"/>
      <x:c r="F25" s="84"/>
      <x:c r="G25" s="84"/>
      <x:c r="H25" s="84"/>
      <x:c r="I25" s="84"/>
    </x:row>
    <x:row r="26" ht="44" customHeight="1">
      <x:c r="A26" s="84"/>
      <x:c r="B26" s="84"/>
      <x:c r="C26" s="84"/>
      <x:c r="D26" s="84"/>
      <x:c r="E26" s="84"/>
      <x:c r="F26" s="84"/>
      <x:c r="G26" s="84"/>
      <x:c r="H26" s="84"/>
      <x:c r="I26" s="84"/>
    </x:row>
    <x:row r="27" ht="44" customHeight="1">
      <x:c r="A27" s="84"/>
      <x:c r="B27" s="84"/>
      <x:c r="C27" s="84"/>
      <x:c r="D27" s="84"/>
      <x:c r="E27" s="84"/>
      <x:c r="F27" s="84"/>
      <x:c r="G27" s="84"/>
      <x:c r="H27" s="84"/>
      <x:c r="I27" s="84"/>
    </x:row>
    <x:row r="28" ht="44" customHeight="1">
      <x:c r="A28" s="84"/>
      <x:c r="B28" s="84"/>
      <x:c r="C28" s="84"/>
      <x:c r="D28" s="84"/>
      <x:c r="E28" s="84"/>
      <x:c r="F28" s="84"/>
      <x:c r="G28" s="84"/>
      <x:c r="H28" s="84"/>
      <x:c r="I28" s="84"/>
    </x:row>
    <x:row r="29" ht="44" customHeight="1">
      <x:c r="A29" s="84"/>
      <x:c r="B29" s="84"/>
      <x:c r="C29" s="84"/>
      <x:c r="D29" s="84"/>
      <x:c r="E29" s="84"/>
      <x:c r="F29" s="84"/>
      <x:c r="G29" s="84"/>
      <x:c r="H29" s="84"/>
      <x:c r="I29" s="84"/>
    </x:row>
    <x:row r="30" ht="44" customHeight="1">
      <x:c r="A30" s="84"/>
      <x:c r="B30" s="84"/>
      <x:c r="C30" s="84"/>
      <x:c r="D30" s="84"/>
      <x:c r="E30" s="84"/>
      <x:c r="F30" s="84"/>
      <x:c r="G30" s="84"/>
      <x:c r="H30" s="84"/>
      <x:c r="I30" s="84"/>
    </x:row>
    <x:row r="31" ht="44" customHeight="1">
      <x:c r="A31" s="84"/>
      <x:c r="B31" s="84"/>
      <x:c r="C31" s="84"/>
      <x:c r="D31" s="84"/>
      <x:c r="E31" s="84"/>
      <x:c r="F31" s="84"/>
      <x:c r="G31" s="84"/>
      <x:c r="H31" s="84"/>
      <x:c r="I31" s="84"/>
    </x:row>
    <x:row r="32" ht="44" customHeight="1">
      <x:c r="A32" s="84"/>
      <x:c r="B32" s="84"/>
      <x:c r="C32" s="84"/>
      <x:c r="D32" s="84"/>
      <x:c r="E32" s="84"/>
      <x:c r="F32" s="84"/>
      <x:c r="G32" s="84"/>
      <x:c r="H32" s="84"/>
      <x:c r="I32" s="84"/>
    </x:row>
    <x:row r="33" ht="44" customHeight="1">
      <x:c r="A33" s="84"/>
      <x:c r="B33" s="84"/>
      <x:c r="C33" s="84"/>
      <x:c r="D33" s="84"/>
      <x:c r="E33" s="84"/>
      <x:c r="F33" s="84"/>
      <x:c r="G33" s="84"/>
      <x:c r="H33" s="84"/>
      <x:c r="I33" s="84"/>
    </x:row>
    <x:row r="34" ht="44" customHeight="1">
      <x:c r="A34" s="84"/>
      <x:c r="B34" s="84"/>
      <x:c r="C34" s="84"/>
      <x:c r="D34" s="84"/>
      <x:c r="E34" s="84"/>
      <x:c r="F34" s="84"/>
      <x:c r="G34" s="84"/>
      <x:c r="H34" s="84"/>
      <x:c r="I34" s="84"/>
    </x:row>
    <x:row r="35" ht="44" customHeight="1">
      <x:c r="A35" s="84"/>
      <x:c r="B35" s="84"/>
      <x:c r="C35" s="84"/>
      <x:c r="D35" s="84"/>
      <x:c r="E35" s="84"/>
      <x:c r="F35" s="84"/>
      <x:c r="G35" s="84"/>
      <x:c r="H35" s="84"/>
      <x:c r="I35" s="84"/>
    </x:row>
    <x:row r="36" ht="44" customHeight="1">
      <x:c r="A36" s="84"/>
      <x:c r="B36" s="84"/>
      <x:c r="C36" s="84"/>
      <x:c r="D36" s="84"/>
      <x:c r="E36" s="84"/>
      <x:c r="F36" s="84"/>
      <x:c r="G36" s="84"/>
      <x:c r="H36" s="84"/>
      <x:c r="I36" s="84"/>
    </x:row>
    <x:row r="37" ht="44" customHeight="1">
      <x:c r="A37" s="84"/>
      <x:c r="B37" s="84"/>
      <x:c r="C37" s="84"/>
      <x:c r="D37" s="84"/>
      <x:c r="E37" s="84"/>
      <x:c r="F37" s="84"/>
      <x:c r="G37" s="84"/>
      <x:c r="H37" s="84"/>
      <x:c r="I37" s="84"/>
    </x:row>
    <x:row r="38" ht="44" customHeight="1">
      <x:c r="A38" s="84"/>
      <x:c r="B38" s="84"/>
      <x:c r="C38" s="84"/>
      <x:c r="D38" s="84"/>
      <x:c r="E38" s="84"/>
      <x:c r="F38" s="84"/>
      <x:c r="G38" s="84"/>
      <x:c r="H38" s="84"/>
      <x:c r="I38" s="84"/>
    </x:row>
    <x:row r="39" ht="44" customHeight="1">
      <x:c r="A39" s="84"/>
      <x:c r="B39" s="84"/>
      <x:c r="C39" s="84"/>
      <x:c r="D39" s="84"/>
      <x:c r="E39" s="84"/>
      <x:c r="F39" s="84"/>
      <x:c r="G39" s="84"/>
      <x:c r="H39" s="84"/>
      <x:c r="I39" s="84"/>
    </x:row>
    <x:row r="40" ht="44" customHeight="1">
      <x:c r="A40" s="84"/>
      <x:c r="B40" s="84"/>
      <x:c r="C40" s="84"/>
      <x:c r="D40" s="84"/>
      <x:c r="E40" s="84"/>
      <x:c r="F40" s="84"/>
      <x:c r="G40" s="84"/>
      <x:c r="H40" s="84"/>
      <x:c r="I40" s="84"/>
    </x:row>
    <x:row r="41" ht="44" customHeight="1">
      <x:c r="A41" s="84"/>
      <x:c r="B41" s="84"/>
      <x:c r="C41" s="84"/>
      <x:c r="D41" s="84"/>
      <x:c r="E41" s="84"/>
      <x:c r="F41" s="84"/>
      <x:c r="G41" s="84"/>
      <x:c r="H41" s="84"/>
      <x:c r="I41" s="84"/>
    </x:row>
    <x:row r="42" ht="44" customHeight="1">
      <x:c r="A42" s="84"/>
      <x:c r="B42" s="84"/>
      <x:c r="C42" s="84"/>
      <x:c r="D42" s="84"/>
      <x:c r="E42" s="84"/>
      <x:c r="F42" s="84"/>
      <x:c r="G42" s="84"/>
      <x:c r="H42" s="84"/>
      <x:c r="I42" s="84"/>
    </x:row>
    <x:row r="43" ht="44" customHeight="1">
      <x:c r="A43" s="84"/>
      <x:c r="B43" s="84"/>
      <x:c r="C43" s="84"/>
      <x:c r="D43" s="84"/>
      <x:c r="E43" s="84"/>
      <x:c r="F43" s="84"/>
      <x:c r="G43" s="84"/>
      <x:c r="H43" s="84"/>
      <x:c r="I43" s="84"/>
    </x:row>
    <x:row r="44" ht="44" customHeight="1">
      <x:c r="A44" s="84"/>
      <x:c r="B44" s="84"/>
      <x:c r="C44" s="84"/>
      <x:c r="D44" s="84"/>
      <x:c r="E44" s="84"/>
      <x:c r="F44" s="84"/>
      <x:c r="G44" s="84"/>
      <x:c r="H44" s="84"/>
      <x:c r="I44" s="84"/>
    </x:row>
    <x:row r="45" ht="44" customHeight="1">
      <x:c r="A45" s="84"/>
      <x:c r="B45" s="84"/>
      <x:c r="C45" s="84"/>
      <x:c r="D45" s="84"/>
      <x:c r="E45" s="84"/>
      <x:c r="F45" s="84"/>
      <x:c r="G45" s="84"/>
      <x:c r="H45" s="84"/>
      <x:c r="I45" s="84"/>
    </x:row>
    <x:row r="46" ht="44" customHeight="1">
      <x:c r="A46" s="84"/>
      <x:c r="B46" s="84"/>
      <x:c r="C46" s="84"/>
      <x:c r="D46" s="84"/>
      <x:c r="E46" s="84"/>
      <x:c r="F46" s="84"/>
      <x:c r="G46" s="84"/>
      <x:c r="H46" s="84"/>
      <x:c r="I46" s="84"/>
    </x:row>
    <x:row r="47" ht="44" customHeight="1">
      <x:c r="A47" s="84"/>
      <x:c r="B47" s="84"/>
      <x:c r="C47" s="84"/>
      <x:c r="D47" s="84"/>
      <x:c r="E47" s="84"/>
      <x:c r="F47" s="84"/>
      <x:c r="G47" s="84"/>
      <x:c r="H47" s="84"/>
      <x:c r="I47" s="84"/>
    </x:row>
    <x:row r="48" ht="44" customHeight="1">
      <x:c r="A48" s="84"/>
      <x:c r="B48" s="84"/>
      <x:c r="C48" s="84"/>
      <x:c r="D48" s="84"/>
      <x:c r="E48" s="84"/>
      <x:c r="F48" s="84"/>
      <x:c r="G48" s="84"/>
      <x:c r="H48" s="84"/>
      <x:c r="I48" s="84"/>
    </x:row>
    <x:row r="49" ht="44" customHeight="1">
      <x:c r="A49" s="84"/>
      <x:c r="B49" s="84"/>
      <x:c r="C49" s="84"/>
      <x:c r="D49" s="84"/>
      <x:c r="E49" s="84"/>
      <x:c r="F49" s="84"/>
      <x:c r="G49" s="84"/>
      <x:c r="H49" s="84"/>
      <x:c r="I49" s="84"/>
    </x:row>
    <x:row r="50" ht="44" customHeight="1">
      <x:c r="A50" s="84"/>
      <x:c r="B50" s="84"/>
      <x:c r="C50" s="84"/>
      <x:c r="D50" s="84"/>
      <x:c r="E50" s="84"/>
      <x:c r="F50" s="84"/>
      <x:c r="G50" s="84"/>
      <x:c r="H50" s="84"/>
      <x:c r="I50" s="84"/>
    </x:row>
  </x:sheetData>
  <x:mergeCells>
    <x:mergeCell ref="A1:I2"/>
    <x:mergeCell ref="A3:I3"/>
    <x:mergeCell ref="A2:I2"/>
    <x:mergeCell ref="A1:I3"/>
  </x:mergeCells>
  <x:conditionalFormatting sqref="C6:C50">
    <x:cfRule type="expression" dxfId="18" priority="1">
      <x:formula>C6="A"</x:formula>
    </x:cfRule>
    <x:cfRule type="expression" dxfId="19" priority="2">
      <x:formula>C6="B"</x:formula>
    </x:cfRule>
    <x:cfRule type="expression" dxfId="20" priority="3">
      <x:formula>C6="C"</x:formula>
    </x:cfRule>
    <x:cfRule type="expression" dxfId="21" priority="4">
      <x:formula>C6="D"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40" hidden="0" customWidth="1"/>
    <x:col min="4" max="4" width="32" hidden="0" customWidth="1"/>
    <x:col min="5" max="5" width="62" hidden="0" customWidth="1"/>
    <x:col min="6" max="6" width="10" hidden="0" customWidth="1"/>
    <x:col min="7" max="7" width="20" hidden="0" customWidth="1"/>
    <x:col min="8" max="8" width="36" hidden="0" customWidth="1"/>
    <x:col min="9" max="9" width="44" hidden="0" customWidth="1"/>
  </x:cols>
  <x:sheetData>
    <x:row r="1">
      <x:c r="A1" s="214" t="str">
        <x:v>本表不再使用。精确课程映射已经直接合并到 W01-W12 每周子表，请按每周子表执行。</x:v>
      </x:c>
      <x:c r="B1" s="214"/>
      <x:c r="C1" s="214"/>
      <x:c r="D1" s="214"/>
      <x:c r="E1" s="214"/>
      <x:c r="F1" s="214"/>
      <x:c r="G1" s="214"/>
      <x:c r="H1" s="214"/>
      <x:c r="I1" s="214"/>
    </x:row>
    <x:row r="2">
      <x:c r="A2" s="214"/>
      <x:c r="B2" s="214"/>
      <x:c r="C2" s="214"/>
      <x:c r="D2" s="214"/>
      <x:c r="E2" s="214"/>
      <x:c r="F2" s="214"/>
      <x:c r="G2" s="214"/>
      <x:c r="H2" s="214"/>
      <x:c r="I2" s="214"/>
    </x:row>
    <x:row r="3">
      <x:c r="A3" s="214"/>
      <x:c r="B3" s="214"/>
      <x:c r="C3" s="214"/>
      <x:c r="D3" s="214"/>
      <x:c r="E3" s="214"/>
      <x:c r="F3" s="214"/>
      <x:c r="G3" s="214"/>
      <x:c r="H3" s="214"/>
      <x:c r="I3" s="214"/>
    </x:row>
    <x:row r="5">
      <x:c r="A5" s="186"/>
      <x:c r="B5" s="186"/>
      <x:c r="C5" s="186"/>
      <x:c r="D5" s="186"/>
      <x:c r="E5" s="186"/>
      <x:c r="F5" s="186"/>
      <x:c r="G5" s="186"/>
      <x:c r="H5" s="186"/>
      <x:c r="I5" s="186"/>
    </x:row>
    <x:row r="6" ht="56" customHeight="1">
      <x:c r="A6" s="84"/>
      <x:c r="B6" s="84"/>
      <x:c r="C6" s="84"/>
      <x:c r="D6" s="84"/>
      <x:c r="E6" s="84"/>
      <x:c r="F6" s="84"/>
      <x:c r="G6" s="84"/>
      <x:c r="H6" s="84"/>
      <x:c r="I6" s="84"/>
    </x:row>
    <x:row r="7" ht="56" customHeight="1">
      <x:c r="A7" s="84"/>
      <x:c r="B7" s="84"/>
      <x:c r="C7" s="84"/>
      <x:c r="D7" s="84"/>
      <x:c r="E7" s="84"/>
      <x:c r="F7" s="84"/>
      <x:c r="G7" s="84"/>
      <x:c r="H7" s="84"/>
      <x:c r="I7" s="84"/>
    </x:row>
    <x:row r="8" ht="56" customHeight="1">
      <x:c r="A8" s="84"/>
      <x:c r="B8" s="84"/>
      <x:c r="C8" s="84"/>
      <x:c r="D8" s="84"/>
      <x:c r="E8" s="84"/>
      <x:c r="F8" s="84"/>
      <x:c r="G8" s="84"/>
      <x:c r="H8" s="84"/>
      <x:c r="I8" s="84"/>
    </x:row>
    <x:row r="9" ht="56" customHeight="1">
      <x:c r="A9" s="84"/>
      <x:c r="B9" s="84"/>
      <x:c r="C9" s="84"/>
      <x:c r="D9" s="84"/>
      <x:c r="E9" s="84"/>
      <x:c r="F9" s="84"/>
      <x:c r="G9" s="84"/>
      <x:c r="H9" s="84"/>
      <x:c r="I9" s="84"/>
    </x:row>
    <x:row r="10" ht="56" customHeight="1">
      <x:c r="A10" s="84"/>
      <x:c r="B10" s="84"/>
      <x:c r="C10" s="84"/>
      <x:c r="D10" s="84"/>
      <x:c r="E10" s="84"/>
      <x:c r="F10" s="84"/>
      <x:c r="G10" s="84"/>
      <x:c r="H10" s="84"/>
      <x:c r="I10" s="84"/>
    </x:row>
    <x:row r="11" ht="56" customHeight="1">
      <x:c r="A11" s="84"/>
      <x:c r="B11" s="84"/>
      <x:c r="C11" s="84"/>
      <x:c r="D11" s="84"/>
      <x:c r="E11" s="84"/>
      <x:c r="F11" s="84"/>
      <x:c r="G11" s="84"/>
      <x:c r="H11" s="84"/>
      <x:c r="I11" s="84"/>
    </x:row>
    <x:row r="12" ht="56" customHeight="1">
      <x:c r="A12" s="84"/>
      <x:c r="B12" s="84"/>
      <x:c r="C12" s="84"/>
      <x:c r="D12" s="84"/>
      <x:c r="E12" s="84"/>
      <x:c r="F12" s="84"/>
      <x:c r="G12" s="84"/>
      <x:c r="H12" s="84"/>
      <x:c r="I12" s="84"/>
    </x:row>
    <x:row r="13" ht="56" customHeight="1">
      <x:c r="A13" s="84"/>
      <x:c r="B13" s="84"/>
      <x:c r="C13" s="84"/>
      <x:c r="D13" s="84"/>
      <x:c r="E13" s="84"/>
      <x:c r="F13" s="84"/>
      <x:c r="G13" s="84"/>
      <x:c r="H13" s="84"/>
      <x:c r="I13" s="84"/>
    </x:row>
    <x:row r="14" ht="56" customHeight="1">
      <x:c r="A14" s="84"/>
      <x:c r="B14" s="84"/>
      <x:c r="C14" s="84"/>
      <x:c r="D14" s="84"/>
      <x:c r="E14" s="84"/>
      <x:c r="F14" s="84"/>
      <x:c r="G14" s="84"/>
      <x:c r="H14" s="84"/>
      <x:c r="I14" s="84"/>
    </x:row>
    <x:row r="15" ht="56" customHeight="1">
      <x:c r="A15" s="84"/>
      <x:c r="B15" s="84"/>
      <x:c r="C15" s="84"/>
      <x:c r="D15" s="84"/>
      <x:c r="E15" s="84"/>
      <x:c r="F15" s="84"/>
      <x:c r="G15" s="84"/>
      <x:c r="H15" s="84"/>
      <x:c r="I15" s="84"/>
    </x:row>
    <x:row r="16" ht="56" customHeight="1">
      <x:c r="A16" s="84"/>
      <x:c r="B16" s="84"/>
      <x:c r="C16" s="84"/>
      <x:c r="D16" s="84"/>
      <x:c r="E16" s="84"/>
      <x:c r="F16" s="84"/>
      <x:c r="G16" s="84"/>
      <x:c r="H16" s="84"/>
      <x:c r="I16" s="84"/>
    </x:row>
    <x:row r="17" ht="56" customHeight="1">
      <x:c r="A17" s="84"/>
      <x:c r="B17" s="84"/>
      <x:c r="C17" s="84"/>
      <x:c r="D17" s="84"/>
      <x:c r="E17" s="84"/>
      <x:c r="F17" s="84"/>
      <x:c r="G17" s="84"/>
      <x:c r="H17" s="84"/>
      <x:c r="I17" s="84"/>
    </x:row>
    <x:row r="18" ht="56" customHeight="1">
      <x:c r="A18" s="84"/>
      <x:c r="B18" s="84"/>
      <x:c r="C18" s="84"/>
      <x:c r="D18" s="84"/>
      <x:c r="E18" s="84"/>
      <x:c r="F18" s="84"/>
      <x:c r="G18" s="84"/>
      <x:c r="H18" s="84"/>
      <x:c r="I18" s="84"/>
    </x:row>
    <x:row r="19" ht="56" customHeight="1">
      <x:c r="A19" s="84"/>
      <x:c r="B19" s="84"/>
      <x:c r="C19" s="84"/>
      <x:c r="D19" s="84"/>
      <x:c r="E19" s="84"/>
      <x:c r="F19" s="84"/>
      <x:c r="G19" s="84"/>
      <x:c r="H19" s="84"/>
      <x:c r="I19" s="84"/>
    </x:row>
    <x:row r="20" ht="56" customHeight="1">
      <x:c r="A20" s="84"/>
      <x:c r="B20" s="84"/>
      <x:c r="C20" s="84"/>
      <x:c r="D20" s="84"/>
      <x:c r="E20" s="84"/>
      <x:c r="F20" s="84"/>
      <x:c r="G20" s="84"/>
      <x:c r="H20" s="84"/>
      <x:c r="I20" s="84"/>
    </x:row>
    <x:row r="21" ht="56" customHeight="1">
      <x:c r="A21" s="84"/>
      <x:c r="B21" s="84"/>
      <x:c r="C21" s="84"/>
      <x:c r="D21" s="84"/>
      <x:c r="E21" s="84"/>
      <x:c r="F21" s="84"/>
      <x:c r="G21" s="84"/>
      <x:c r="H21" s="84"/>
      <x:c r="I21" s="84"/>
    </x:row>
    <x:row r="22" ht="56" customHeight="1">
      <x:c r="A22" s="84"/>
      <x:c r="B22" s="84"/>
      <x:c r="C22" s="84"/>
      <x:c r="D22" s="84"/>
      <x:c r="E22" s="84"/>
      <x:c r="F22" s="84"/>
      <x:c r="G22" s="84"/>
      <x:c r="H22" s="84"/>
      <x:c r="I22" s="84"/>
    </x:row>
    <x:row r="23" ht="56" customHeight="1">
      <x:c r="A23" s="84"/>
      <x:c r="B23" s="84"/>
      <x:c r="C23" s="84"/>
      <x:c r="D23" s="84"/>
      <x:c r="E23" s="84"/>
      <x:c r="F23" s="84"/>
      <x:c r="G23" s="84"/>
      <x:c r="H23" s="84"/>
      <x:c r="I23" s="84"/>
    </x:row>
    <x:row r="24" ht="56" customHeight="1">
      <x:c r="A24" s="84"/>
      <x:c r="B24" s="84"/>
      <x:c r="C24" s="84"/>
      <x:c r="D24" s="84"/>
      <x:c r="E24" s="84"/>
      <x:c r="F24" s="84"/>
      <x:c r="G24" s="84"/>
      <x:c r="H24" s="84"/>
      <x:c r="I24" s="84"/>
    </x:row>
    <x:row r="25" ht="56" customHeight="1">
      <x:c r="A25" s="84"/>
      <x:c r="B25" s="84"/>
      <x:c r="C25" s="84"/>
      <x:c r="D25" s="84"/>
      <x:c r="E25" s="84"/>
      <x:c r="F25" s="84"/>
      <x:c r="G25" s="84"/>
      <x:c r="H25" s="84"/>
      <x:c r="I25" s="84"/>
    </x:row>
    <x:row r="26" ht="56" customHeight="1">
      <x:c r="A26" s="84"/>
      <x:c r="B26" s="84"/>
      <x:c r="C26" s="84"/>
      <x:c r="D26" s="84"/>
      <x:c r="E26" s="84"/>
      <x:c r="F26" s="84"/>
      <x:c r="G26" s="84"/>
      <x:c r="H26" s="84"/>
      <x:c r="I26" s="84"/>
    </x:row>
    <x:row r="27" ht="56" customHeight="1">
      <x:c r="A27" s="84"/>
      <x:c r="B27" s="84"/>
      <x:c r="C27" s="84"/>
      <x:c r="D27" s="84"/>
      <x:c r="E27" s="84"/>
      <x:c r="F27" s="84"/>
      <x:c r="G27" s="84"/>
      <x:c r="H27" s="84"/>
      <x:c r="I27" s="84"/>
    </x:row>
    <x:row r="28" ht="56" customHeight="1">
      <x:c r="A28" s="84"/>
      <x:c r="B28" s="84"/>
      <x:c r="C28" s="84"/>
      <x:c r="D28" s="84"/>
      <x:c r="E28" s="84"/>
      <x:c r="F28" s="84"/>
      <x:c r="G28" s="84"/>
      <x:c r="H28" s="84"/>
      <x:c r="I28" s="84"/>
    </x:row>
    <x:row r="29" ht="56" customHeight="1">
      <x:c r="A29" s="84"/>
      <x:c r="B29" s="84"/>
      <x:c r="C29" s="84"/>
      <x:c r="D29" s="84"/>
      <x:c r="E29" s="84"/>
      <x:c r="F29" s="84"/>
      <x:c r="G29" s="84"/>
      <x:c r="H29" s="84"/>
      <x:c r="I29" s="84"/>
    </x:row>
    <x:row r="30" ht="56" customHeight="1">
      <x:c r="A30" s="84"/>
      <x:c r="B30" s="84"/>
      <x:c r="C30" s="84"/>
      <x:c r="D30" s="84"/>
      <x:c r="E30" s="84"/>
      <x:c r="F30" s="84"/>
      <x:c r="G30" s="84"/>
      <x:c r="H30" s="84"/>
      <x:c r="I30" s="84"/>
    </x:row>
    <x:row r="31" ht="56" customHeight="1">
      <x:c r="A31" s="84"/>
      <x:c r="B31" s="84"/>
      <x:c r="C31" s="84"/>
      <x:c r="D31" s="84"/>
      <x:c r="E31" s="84"/>
      <x:c r="F31" s="84"/>
      <x:c r="G31" s="84"/>
      <x:c r="H31" s="84"/>
      <x:c r="I31" s="84"/>
    </x:row>
    <x:row r="32" ht="56" customHeight="1">
      <x:c r="A32" s="84"/>
      <x:c r="B32" s="84"/>
      <x:c r="C32" s="84"/>
      <x:c r="D32" s="84"/>
      <x:c r="E32" s="84"/>
      <x:c r="F32" s="84"/>
      <x:c r="G32" s="84"/>
      <x:c r="H32" s="84"/>
      <x:c r="I32" s="84"/>
    </x:row>
    <x:row r="33" ht="56" customHeight="1">
      <x:c r="A33" s="84"/>
      <x:c r="B33" s="84"/>
      <x:c r="C33" s="84"/>
      <x:c r="D33" s="84"/>
      <x:c r="E33" s="84"/>
      <x:c r="F33" s="84"/>
      <x:c r="G33" s="84"/>
      <x:c r="H33" s="84"/>
      <x:c r="I33" s="84"/>
    </x:row>
    <x:row r="34" ht="56" customHeight="1">
      <x:c r="A34" s="84"/>
      <x:c r="B34" s="84"/>
      <x:c r="C34" s="84"/>
      <x:c r="D34" s="84"/>
      <x:c r="E34" s="84"/>
      <x:c r="F34" s="84"/>
      <x:c r="G34" s="84"/>
      <x:c r="H34" s="84"/>
      <x:c r="I34" s="84"/>
    </x:row>
    <x:row r="35" ht="56" customHeight="1">
      <x:c r="A35" s="84"/>
      <x:c r="B35" s="84"/>
      <x:c r="C35" s="84"/>
      <x:c r="D35" s="84"/>
      <x:c r="E35" s="84"/>
      <x:c r="F35" s="84"/>
      <x:c r="G35" s="84"/>
      <x:c r="H35" s="84"/>
      <x:c r="I35" s="84"/>
    </x:row>
    <x:row r="36" ht="56" customHeight="1">
      <x:c r="A36" s="84"/>
      <x:c r="B36" s="84"/>
      <x:c r="C36" s="84"/>
      <x:c r="D36" s="84"/>
      <x:c r="E36" s="84"/>
      <x:c r="F36" s="84"/>
      <x:c r="G36" s="84"/>
      <x:c r="H36" s="84"/>
      <x:c r="I36" s="84"/>
    </x:row>
    <x:row r="37" ht="56" customHeight="1">
      <x:c r="A37" s="84"/>
      <x:c r="B37" s="84"/>
      <x:c r="C37" s="84"/>
      <x:c r="D37" s="84"/>
      <x:c r="E37" s="84"/>
      <x:c r="F37" s="84"/>
      <x:c r="G37" s="84"/>
      <x:c r="H37" s="84"/>
      <x:c r="I37" s="84"/>
    </x:row>
    <x:row r="38" ht="56" customHeight="1">
      <x:c r="A38" s="84"/>
      <x:c r="B38" s="84"/>
      <x:c r="C38" s="84"/>
      <x:c r="D38" s="84"/>
      <x:c r="E38" s="84"/>
      <x:c r="F38" s="84"/>
      <x:c r="G38" s="84"/>
      <x:c r="H38" s="84"/>
      <x:c r="I38" s="84"/>
    </x:row>
    <x:row r="39" ht="56" customHeight="1">
      <x:c r="A39" s="84"/>
      <x:c r="B39" s="84"/>
      <x:c r="C39" s="84"/>
      <x:c r="D39" s="84"/>
      <x:c r="E39" s="84"/>
      <x:c r="F39" s="84"/>
      <x:c r="G39" s="84"/>
      <x:c r="H39" s="84"/>
      <x:c r="I39" s="84"/>
    </x:row>
    <x:row r="40" ht="56" customHeight="1">
      <x:c r="A40" s="84"/>
      <x:c r="B40" s="84"/>
      <x:c r="C40" s="84"/>
      <x:c r="D40" s="84"/>
      <x:c r="E40" s="84"/>
      <x:c r="F40" s="84"/>
      <x:c r="G40" s="84"/>
      <x:c r="H40" s="84"/>
      <x:c r="I40" s="84"/>
    </x:row>
    <x:row r="41" ht="56" customHeight="1">
      <x:c r="A41" s="84"/>
      <x:c r="B41" s="84"/>
      <x:c r="C41" s="84"/>
      <x:c r="D41" s="84"/>
      <x:c r="E41" s="84"/>
      <x:c r="F41" s="84"/>
      <x:c r="G41" s="84"/>
      <x:c r="H41" s="84"/>
      <x:c r="I41" s="84"/>
    </x:row>
    <x:row r="42" ht="56" customHeight="1">
      <x:c r="A42" s="84"/>
      <x:c r="B42" s="84"/>
      <x:c r="C42" s="84"/>
      <x:c r="D42" s="84"/>
      <x:c r="E42" s="84"/>
      <x:c r="F42" s="84"/>
      <x:c r="G42" s="84"/>
      <x:c r="H42" s="84"/>
      <x:c r="I42" s="84"/>
    </x:row>
    <x:row r="43" ht="56" customHeight="1">
      <x:c r="A43" s="84"/>
      <x:c r="B43" s="84"/>
      <x:c r="C43" s="84"/>
      <x:c r="D43" s="84"/>
      <x:c r="E43" s="84"/>
      <x:c r="F43" s="84"/>
      <x:c r="G43" s="84"/>
      <x:c r="H43" s="84"/>
      <x:c r="I43" s="84"/>
    </x:row>
    <x:row r="44" ht="56" customHeight="1">
      <x:c r="A44" s="84"/>
      <x:c r="B44" s="84"/>
      <x:c r="C44" s="84"/>
      <x:c r="D44" s="84"/>
      <x:c r="E44" s="84"/>
      <x:c r="F44" s="84"/>
      <x:c r="G44" s="84"/>
      <x:c r="H44" s="84"/>
      <x:c r="I44" s="84"/>
    </x:row>
    <x:row r="45" ht="56" customHeight="1">
      <x:c r="A45" s="84"/>
      <x:c r="B45" s="84"/>
      <x:c r="C45" s="84"/>
      <x:c r="D45" s="84"/>
      <x:c r="E45" s="84"/>
      <x:c r="F45" s="84"/>
      <x:c r="G45" s="84"/>
      <x:c r="H45" s="84"/>
      <x:c r="I45" s="84"/>
    </x:row>
    <x:row r="46" ht="56" customHeight="1">
      <x:c r="A46" s="84"/>
      <x:c r="B46" s="84"/>
      <x:c r="C46" s="84"/>
      <x:c r="D46" s="84"/>
      <x:c r="E46" s="84"/>
      <x:c r="F46" s="84"/>
      <x:c r="G46" s="84"/>
      <x:c r="H46" s="84"/>
      <x:c r="I46" s="84"/>
    </x:row>
    <x:row r="47" ht="56" customHeight="1">
      <x:c r="A47" s="84"/>
      <x:c r="B47" s="84"/>
      <x:c r="C47" s="84"/>
      <x:c r="D47" s="84"/>
      <x:c r="E47" s="84"/>
      <x:c r="F47" s="84"/>
      <x:c r="G47" s="84"/>
      <x:c r="H47" s="84"/>
      <x:c r="I47" s="84"/>
    </x:row>
    <x:row r="48" ht="56" customHeight="1">
      <x:c r="A48" s="84"/>
      <x:c r="B48" s="84"/>
      <x:c r="C48" s="84"/>
      <x:c r="D48" s="84"/>
      <x:c r="E48" s="84"/>
      <x:c r="F48" s="84"/>
      <x:c r="G48" s="84"/>
      <x:c r="H48" s="84"/>
      <x:c r="I48" s="84"/>
    </x:row>
    <x:row r="49" ht="56" customHeight="1">
      <x:c r="A49" s="84"/>
      <x:c r="B49" s="84"/>
      <x:c r="C49" s="84"/>
      <x:c r="D49" s="84"/>
      <x:c r="E49" s="84"/>
      <x:c r="F49" s="84"/>
      <x:c r="G49" s="84"/>
      <x:c r="H49" s="84"/>
      <x:c r="I49" s="84"/>
    </x:row>
    <x:row r="50" ht="56" customHeight="1">
      <x:c r="A50" s="84"/>
      <x:c r="B50" s="84"/>
      <x:c r="C50" s="84"/>
      <x:c r="D50" s="84"/>
      <x:c r="E50" s="84"/>
      <x:c r="F50" s="84"/>
      <x:c r="G50" s="84"/>
      <x:c r="H50" s="84"/>
      <x:c r="I50" s="84"/>
    </x:row>
    <x:row r="51" ht="56" customHeight="1">
      <x:c r="A51" s="84"/>
      <x:c r="B51" s="84"/>
      <x:c r="C51" s="84"/>
      <x:c r="D51" s="84"/>
      <x:c r="E51" s="84"/>
      <x:c r="F51" s="84"/>
      <x:c r="G51" s="84"/>
      <x:c r="H51" s="84"/>
      <x:c r="I51" s="84"/>
    </x:row>
  </x:sheetData>
  <x:mergeCells>
    <x:mergeCell ref="A1:I2"/>
    <x:mergeCell ref="A3:I3"/>
    <x:mergeCell ref="A1:I3"/>
  </x:mergeCells>
  <x:conditionalFormatting sqref="F6:F51">
    <x:cfRule type="expression" dxfId="22" priority="1">
      <x:formula>F6="必学"</x:formula>
    </x:cfRule>
    <x:cfRule type="expression" dxfId="23" priority="2">
      <x:formula>F6="快看"</x:formula>
    </x:cfRule>
    <x:cfRule type="expression" dxfId="24" priority="3">
      <x:formula>F6="复习"</x:formula>
    </x:cfRule>
    <x:cfRule type="expression" dxfId="25" priority="4">
      <x:formula>F6="选学"</x:formula>
    </x:cfRule>
  </x:conditionalFormatting>
  <x:pageMargins left="0.7" right="0.7" top="0.75" bottom="0.75" header="0.3" footer="0.3"/>
</x:worksheet>
</file>